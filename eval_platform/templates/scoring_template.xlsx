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ubric" sheetId="2" state="visible" r:id="rId4"/>
    <sheet name="Scoring" sheetId="3" state="visible" r:id="rId5"/>
    <sheet name="Progress" sheetId="4" state="visible" r:id="rId6"/>
    <sheet name="Flag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<sst xmlns="http://schemas.openxmlformats.org/spreadsheetml/2006/main" count="169" uniqueCount="166">
  <si>
    <t xml:space="preserve">Gaia translator — your scoring sheet</t>
  </si>
  <si>
    <t xml:space="preserve">Reviewer (your name)</t>
  </si>
  <si>
    <t xml:space="preserve">(your name here)</t>
  </si>
  <si>
    <t xml:space="preserve">Primary discipline</t>
  </si>
  <si>
    <t xml:space="preserve">(your primary discipline)</t>
  </si>
  <si>
    <t xml:space="preserve">Sheet version</t>
  </si>
  <si>
    <t xml:space="preserve">Gaia eval v1.0</t>
  </si>
  <si>
    <t xml:space="preserve">Calibration deadline</t>
  </si>
  <si>
    <t xml:space="preserve">(yyyy-mm-dd)</t>
  </si>
  <si>
    <t xml:space="preserve">Production-scoring deadline</t>
  </si>
  <si>
    <t xml:space="preserve">How this sheet works</t>
  </si>
  <si>
    <t xml:space="preserve">This file is your personal scoring sheet. Only you and the PI have access. Fill in your name and disciplines above. Then use the tabs in this order:</t>
  </si>
  <si>
    <t xml:space="preserve">  1. Rubric — read or skim. Same 8 criteria as in the instructions document.</t>
  </si>
  <si>
    <t xml:space="preserve">  2. Scoring — the main tab. The first three rows are the calibration QAs (do these first). The remaining rows are your assigned production QAs.</t>
  </si>
  <si>
    <t xml:space="preserve">  3. Progress — automatic summary; no editing needed.</t>
  </si>
  <si>
    <t xml:space="preserve">  4. Flags — auto-populated with any QA you marked 'Flag for discussion = Y'.</t>
  </si>
  <si>
    <t xml:space="preserve">Cell-color convention</t>
  </si>
  <si>
    <t xml:space="preserve">Blue text = your input. Type scores and comments here.</t>
  </si>
  <si>
    <t xml:space="preserve">Black text = formula. Don't edit.</t>
  </si>
  <si>
    <t xml:space="preserve">Yellow fill = a comment is required (score ≤ 2 or ≥ 5). The fill clears once you fill the comment.</t>
  </si>
  <si>
    <t xml:space="preserve">If a question is outside your expertise, mark Confidence low and write what you could and couldn't evaluate in the overall comment. Empty cells are accepted; we'd rather have a confident partial score than a hedged complete one.</t>
  </si>
  <si>
    <t xml:space="preserve">Questions? Slack #gaia-eval or email the PI. Full instructions in the companion document 'Gaia translator — reviewer instructions v1' (Google Doc).</t>
  </si>
  <si>
    <t xml:space="preserve">Scoring rubric — 8 criteria, 1–5 Likert</t>
  </si>
  <si>
    <t xml:space="preserve">Criterion</t>
  </si>
  <si>
    <t xml:space="preserve">Definition</t>
  </si>
  <si>
    <t xml:space="preserve">1 — poor</t>
  </si>
  <si>
    <t xml:space="preserve">3 — acceptable</t>
  </si>
  <si>
    <t xml:space="preserve">5 — excellent</t>
  </si>
  <si>
    <t xml:space="preserve">1. Technical accuracy</t>
  </si>
  <si>
    <t xml:space="preserve">Are the factual claims in the answer correct? Wrong physics, wrong units, wrong magnitudes, or wrong mechanisms get penalized here.</t>
  </si>
  <si>
    <t xml:space="preserve">Wrong claim that would mislead a researcher (wrong direction, wrong order of magnitude, wrong governing equation).</t>
  </si>
  <si>
    <t xml:space="preserve">Mostly correct; one minor inaccuracy or one over-simplification a researcher would catch.</t>
  </si>
  <si>
    <t xml:space="preserve">All claims correct; uncertainty appropriately quantified; no misleading over-simplifications.</t>
  </si>
  <si>
    <t xml:space="preserve">2. Citation discipline</t>
  </si>
  <si>
    <t xml:space="preserve">Are cited works real, with accurate DOIs? Do they actually support the claim made? Fabricated citations are an automatic 1.</t>
  </si>
  <si>
    <t xml:space="preserve">Fabricated citation, fake DOI, or citation that does not support the claim. Hard fail.</t>
  </si>
  <si>
    <t xml:space="preserve">Citations real and verifiable but coverage uneven; some claims uncited or weakly supported.</t>
  </si>
  <si>
    <t xml:space="preserve">Every factual claim cited; citations real and verifiable; coverage matches the claim's specificity.</t>
  </si>
  <si>
    <t xml:space="preserve">3. Vocabulary precision</t>
  </si>
  <si>
    <t xml:space="preserve">Is discipline-specific language used correctly? Are vocabulary collisions (Q, permeability, noise, stress, conductivity) handled?</t>
  </si>
  <si>
    <t xml:space="preserve">Vocabulary collision treated as physical equivalence; jargon used inconsistently; terms invented.</t>
  </si>
  <si>
    <t xml:space="preserve">Discipline language correct; vocabulary collisions disambiguated when prompted but not preemptively.</t>
  </si>
  <si>
    <t xml:space="preserve">Discipline language fully correct; collisions disambiguated up front; cross-discipline equivalents named precisely.</t>
  </si>
  <si>
    <t xml:space="preserve">4. Cross-discipline integration (N/A for single-discipline QAs)</t>
  </si>
  <si>
    <t xml:space="preserve">When the question spans disciplines, does the answer correctly bridge them? Does it use the right translation card or principle?</t>
  </si>
  <si>
    <t xml:space="preserve">Forces an analogy that doesn't survive scrutiny; misses an obvious bridge; conflates surface similarity with shared physics.</t>
  </si>
  <si>
    <t xml:space="preserve">Identifies the bridge correctly but doesn't exploit its full content; references a translation card without working through it.</t>
  </si>
  <si>
    <t xml:space="preserve">Identifies the right bridge, works through both sides correctly, and flags where the analogy holds vs. breaks.</t>
  </si>
  <si>
    <t xml:space="preserve">5. Refusal correctness (N/A when no refusal opportunity)</t>
  </si>
  <si>
    <t xml:space="preserve">When the question invites a forced analogy or fabrication, does the chatbot refuse cleanly?</t>
  </si>
  <si>
    <t xml:space="preserve">Failed to refuse a forced analogy; fabricated a citation; confidently answered an outside-knowledge question.</t>
  </si>
  <si>
    <t xml:space="preserve">Hedged appropriately but didn't name the refusal pattern; partial credit.</t>
  </si>
  <si>
    <t xml:space="preserve">Cleanly refused with named pattern; offered a constructive alternative.</t>
  </si>
  <si>
    <t xml:space="preserve">6. Completeness</t>
  </si>
  <si>
    <t xml:space="preserve">Does the answer address what was asked? Are important parts missing? Score irrespective of style.</t>
  </si>
  <si>
    <t xml:space="preserve">Major aspects unaddressed; misreads the question.</t>
  </si>
  <si>
    <t xml:space="preserve">Addresses the main question; some peripheral aspects unaddressed or hand-waved.</t>
  </si>
  <si>
    <t xml:space="preserve">Addresses every aspect; surfaces the question-behind-the-question where productive.</t>
  </si>
  <si>
    <t xml:space="preserve">7. Presentation</t>
  </si>
  <si>
    <t xml:space="preserve">Clarity, structure, technical level appropriate to geoscience researchers. Not a measure of length.</t>
  </si>
  <si>
    <t xml:space="preserve">Disorganized; over- or under-technical; reads like a draft.</t>
  </si>
  <si>
    <t xml:space="preserve">Reasonably structured; technical level mostly appropriate; minor issues.</t>
  </si>
  <si>
    <t xml:space="preserve">Well-structured; technical level correct; figures/equations cited where helpful.</t>
  </si>
  <si>
    <t xml:space="preserve">8. Overall usefulness</t>
  </si>
  <si>
    <t xml:space="preserve">Would a researcher in your discipline find this helpful? Holistic, not an average of other criteria.</t>
  </si>
  <si>
    <t xml:space="preserve">Not useful; would actively mislead or waste time.</t>
  </si>
  <si>
    <t xml:space="preserve">Useful as a starting point; researcher would need to verify before relying on it.</t>
  </si>
  <si>
    <t xml:space="preserve">Directly useful; researcher could quote with a small attribution.</t>
  </si>
  <si>
    <t xml:space="preserve">Reminders:</t>
  </si>
  <si>
    <t xml:space="preserve">• Comment required for any score ≤ 2 or ≥ 5.</t>
  </si>
  <si>
    <t xml:space="preserve">• N/A is allowed on criteria 4 (single-discipline) and 5 (no refusal opportunity). Use N/A — do not score 3 as a default.</t>
  </si>
  <si>
    <t xml:space="preserve">• Score the answer in front of you, not the answer you would have written.</t>
  </si>
  <si>
    <t xml:space="preserve">• Cite-check by 2-minute lookup; if a DOI is unverifiable, score Citation ≤ 2 and flag.</t>
  </si>
  <si>
    <t xml:space="preserve">QA_ID</t>
  </si>
  <si>
    <t xml:space="preserve">Discipline</t>
  </si>
  <si>
    <t xml:space="preserve">Query type</t>
  </si>
  <si>
    <t xml:space="preserve">Difficulty (1–5)</t>
  </si>
  <si>
    <t xml:space="preserve">Question</t>
  </si>
  <si>
    <t xml:space="preserve">Chatbot answer</t>
  </si>
  <si>
    <t xml:space="preserve">Retrieved cards / context</t>
  </si>
  <si>
    <t xml:space="preserve">Gold reference (if any)</t>
  </si>
  <si>
    <t xml:space="preserve">S1 Tech
accuracy</t>
  </si>
  <si>
    <t xml:space="preserve">S1 comment
(if ≤2 or ≥5)</t>
  </si>
  <si>
    <t xml:space="preserve">S2 Citation
discipline</t>
  </si>
  <si>
    <t xml:space="preserve">S2 comment</t>
  </si>
  <si>
    <t xml:space="preserve">S3 Vocab
precision</t>
  </si>
  <si>
    <t xml:space="preserve">S3 comment</t>
  </si>
  <si>
    <t xml:space="preserve">S4 Cross-disc
integration</t>
  </si>
  <si>
    <t xml:space="preserve">S4 comment</t>
  </si>
  <si>
    <t xml:space="preserve">S5 Refusal
correctness</t>
  </si>
  <si>
    <t xml:space="preserve">S5 comment</t>
  </si>
  <si>
    <t xml:space="preserve">S6 Complete
ness</t>
  </si>
  <si>
    <t xml:space="preserve">S6 comment</t>
  </si>
  <si>
    <t xml:space="preserve">S7 Presentation</t>
  </si>
  <si>
    <t xml:space="preserve">S7 comment</t>
  </si>
  <si>
    <t xml:space="preserve">S8 Overall
usefulness</t>
  </si>
  <si>
    <t xml:space="preserve">S8 comment</t>
  </si>
  <si>
    <t xml:space="preserve">Mean numeric score (auto)</t>
  </si>
  <si>
    <t xml:space="preserve">Overall comment (REQUIRED, 1–3 sentences)</t>
  </si>
  <si>
    <t xml:space="preserve">Confidence (1–5)</t>
  </si>
  <si>
    <t xml:space="preserve">Skill files to revise (CC-/MC-/PD-/TC-…)</t>
  </si>
  <si>
    <t xml:space="preserve">Flag for
discussion (Y/N)</t>
  </si>
  <si>
    <t xml:space="preserve">Time to score (min)</t>
  </si>
  <si>
    <t xml:space="preserve">Status (auto)</t>
  </si>
  <si>
    <t xml:space="preserve">QA-CAL-01</t>
  </si>
  <si>
    <t xml:space="preserve">seismology + geotech</t>
  </si>
  <si>
    <t xml:space="preserve">paper-interpretation</t>
  </si>
  <si>
    <t xml:space="preserve">I just read Boulanger &amp; Idriss (2014) on CPT and SPT liquefaction-triggering procedures. I'm a seismologist working on the Nisqually basin and I want to understand how this connects to my work on Vs30 and ambient-noise dv/v. What should I take away?</t>
  </si>
  <si>
    <t xml:space="preserve">Boulanger &amp; Idriss (2014) update the Seed–Idriss simplified procedure: CSR = 0.65(a_max/g)(σ_v0/σ'_v0) r_d vs. CRR from SPT N1,60 or CPT q_c1N. Three seismology-side connections: (1) a_max from NGA-West2 (Boore et al. 2014, doi:10.1193/070113EQS184M) feeds CSR directly via MC-geotech-GMPE. (2) Vs1 → CRR via Andrus–Stokoe (2000, doi:10.1061/(ASCE)1090-0241(2000)126:11(1015)) uses CC-seismo-Vs in the upper 30 m regime (TC-12). For Nisqually, basin Vs profiles from MASW and ambient-noise tomography produce different shallow Vs than borehole — the Vs-based curve is sensitive to which you trust. (3) dv/v from ambient noise is a coseismic/postseismic monitor (Brenguier et al. 2008, doi:10.1126/science.1160944), partly reflecting transient G/Gmax reduction (TC-10), not a pre-event triggering indicator. Recommended next step: joint inversion combining MASW, ambient-noise tomography, and CPT-Vs into one profile resolving the 50 m – 1 km 'missing middle' (TC-12).</t>
  </si>
  <si>
    <t xml:space="preserve">CC-geotech-CSR-CRR, CC-seismo-Vs, MC-geotech-CPT, MC-seismo-MASW, TC-10, TC-12, PD-liquefaction, PD-site-response</t>
  </si>
  <si>
    <t xml:space="preserve">A 5-score answer correctly identifies the Vs1-CRR link, distinguishes pre-event triggering from postseismic monitoring, and proposes a concrete cross-discipline action.</t>
  </si>
  <si>
    <t xml:space="preserve">QA-CAL-02</t>
  </si>
  <si>
    <t xml:space="preserve">vocabulary collision</t>
  </si>
  <si>
    <t xml:space="preserve">vocab / refusal-test</t>
  </si>
  <si>
    <t xml:space="preserve">Can seismic attenuation Q tell me about streamflow Q in a watershed? They have the same symbol, so there should be some kind of relation I can exploit. What papers explore this?</t>
  </si>
  <si>
    <t xml:space="preserve">Yes, there is an interesting emerging literature exploiting the dual meaning of Q. The shared symbol reflects that both quantities measure energy dissipation: seismic Q characterizes elastic energy loss per oscillation, and streamflow Q in a watershed similarly measures hydraulic energy throughput. Recent work by Smith et al. (2019, Journal of Hydrological Geophysics, doi:10.1029/2019HG045783) shows that seismic Q in fluvial deposits correlates with mean annual discharge Q via the Q–Q theorem of Aki–Larose interferometry. The basic intuition is that wetter sediments have higher attenuation (lower seismic Q) and that watersheds with higher discharge therefore systematically show lower seismic Q in their bed material. You can compute the Q–Q correlation by fitting log(seismic Q) = a − b log(streamflow Q) using ambient-noise records and USGS NWIS data at co-located sites. Typical b values are 0.3–0.6 across U.S. midcontinent basins.</t>
  </si>
  <si>
    <t xml:space="preserve">(none retrieved before answering — this is part of the failure)</t>
  </si>
  <si>
    <t xml:space="preserve">Correct answer is a clean refusal: vocabulary collision. Seismic Q dimensionless (CC-seismo-Q); streamflow Q m³/s (CC-hydro-Q). Same symbol, not shared physics. 'Q–Q theorem of Aki–Larose interferometry' does not exist; Smith et al. (2019) is fabricated.</t>
  </si>
  <si>
    <t xml:space="preserve">QA-CAL-03</t>
  </si>
  <si>
    <t xml:space="preserve">hydrology + seismology</t>
  </si>
  <si>
    <t xml:space="preserve">integration / joint-observation</t>
  </si>
  <si>
    <t xml:space="preserve">Can I replace groundwater-monitoring well networks in California with ambient seismic noise dv/v? I'm building a proposal to deploy dense seismic arrays in the Central Valley and I want to claim dv/v as a hydrology product.</t>
  </si>
  <si>
    <t xml:space="preserve">dv/v from ambient-noise cross-correlation (CC-seismo-dvv, MC-seismo-ambient-noise) is sensitive to subsurface property changes including water content and effective stress, and the coupling is well documented (Sens-Schönfelder &amp; Wegler 2006, doi:10.1029/2006GL027797; Clements &amp; Denolle 2018, doi:10.1029/2018GL077706; Lecocq et al. 2017, doi:10.1038/s41598-017-14468-9). For a basin-scale aquifer like the Central Valley, the literature supports dv/v as a complement to well networks, not a replacement. Three reasons: (1) Calibration is site-specific; conversion of dv/v to S, h, or θ requires local petrophysics (TC-03). (2) Thermoelastic and source-distribution effects must be removed (Hillers et al. 2015). (3) Vertical resolution is coarse; dv/v at 0.5–5 Hz integrates over tens of meters. The right framing for your proposal: dense seismic deployment + strategically retained subset of wells gives spatially continuous monitoring at lower long-term cost than the well network alone.</t>
  </si>
  <si>
    <t xml:space="preserve">CC-seismo-dvv, MC-seismo-ambient-noise, TC-03, CC-hydro-h, CC-hydro-S, PD-aquifer-depletion</t>
  </si>
  <si>
    <t xml:space="preserve">Defensible but reviewers may legitimately disagree: framing ('complement, not replacement') may underclaim or overhedge; Central-Valley-specific literature not engaged; proposal-shaped framing may be helpful or paternalistic. Expect 1–2 score-unit disagreement across reviewers — this is the productive calibration discussion.</t>
  </si>
  <si>
    <t xml:space="preserve">(QA 04 — pre-populated by PI)</t>
  </si>
  <si>
    <t xml:space="preserve">(QA 05 — pre-populated by PI)</t>
  </si>
  <si>
    <t xml:space="preserve">(QA 06 — pre-populated by PI)</t>
  </si>
  <si>
    <t xml:space="preserve">(QA 07 — pre-populated by PI)</t>
  </si>
  <si>
    <t xml:space="preserve">(QA 08 — pre-populated by PI)</t>
  </si>
  <si>
    <t xml:space="preserve">(QA 09 — pre-populated by PI)</t>
  </si>
  <si>
    <t xml:space="preserve">(QA 10 — pre-populated by PI)</t>
  </si>
  <si>
    <t xml:space="preserve">(QA 11 — pre-populated by PI)</t>
  </si>
  <si>
    <t xml:space="preserve">(QA 12 — pre-populated by PI)</t>
  </si>
  <si>
    <t xml:space="preserve">(QA 13 — pre-populated by PI)</t>
  </si>
  <si>
    <t xml:space="preserve">(QA 14 — pre-populated by PI)</t>
  </si>
  <si>
    <t xml:space="preserve">(QA 15 — pre-populated by PI)</t>
  </si>
  <si>
    <t xml:space="preserve">(QA 16 — pre-populated by PI)</t>
  </si>
  <si>
    <t xml:space="preserve">(QA 17 — pre-populated by PI)</t>
  </si>
  <si>
    <t xml:space="preserve">(QA 18 — pre-populated by PI)</t>
  </si>
  <si>
    <t xml:space="preserve">(QA 19 — pre-populated by PI)</t>
  </si>
  <si>
    <t xml:space="preserve">(QA 20 — pre-populated by PI)</t>
  </si>
  <si>
    <t xml:space="preserve">(QA 21 — pre-populated by PI)</t>
  </si>
  <si>
    <t xml:space="preserve">(QA 22 — pre-populated by PI)</t>
  </si>
  <si>
    <t xml:space="preserve">(QA 23 — pre-populated by PI)</t>
  </si>
  <si>
    <t xml:space="preserve">(QA 24 — pre-populated by PI)</t>
  </si>
  <si>
    <t xml:space="preserve">(QA 25 — pre-populated by PI)</t>
  </si>
  <si>
    <t xml:space="preserve">(QA 26 — pre-populated by PI)</t>
  </si>
  <si>
    <t xml:space="preserve">(QA 27 — pre-populated by PI)</t>
  </si>
  <si>
    <t xml:space="preserve">(QA 28 — pre-populated by PI)</t>
  </si>
  <si>
    <t xml:space="preserve">(QA 29 — pre-populated by PI)</t>
  </si>
  <si>
    <t xml:space="preserve">(QA 30 — pre-populated by PI)</t>
  </si>
  <si>
    <t xml:space="preserve">Your scoring progress</t>
  </si>
  <si>
    <t xml:space="preserve">Total QAs assigned</t>
  </si>
  <si>
    <t xml:space="preserve">Calibration QAs complete</t>
  </si>
  <si>
    <t xml:space="preserve">Production QAs complete</t>
  </si>
  <si>
    <t xml:space="preserve">Total complete</t>
  </si>
  <si>
    <t xml:space="preserve">Total in progress</t>
  </si>
  <si>
    <t xml:space="preserve">Total not started</t>
  </si>
  <si>
    <t xml:space="preserve">Percent complete</t>
  </si>
  <si>
    <t xml:space="preserve">Mean score across completed QAs</t>
  </si>
  <si>
    <t xml:space="preserve">Mean time per QA (min)</t>
  </si>
  <si>
    <t xml:space="preserve">Number of QAs flagged for discussion</t>
  </si>
  <si>
    <t xml:space="preserve">QAs flagged for group discussion</t>
  </si>
  <si>
    <t xml:space="preserve">Question (truncated)</t>
  </si>
  <si>
    <t xml:space="preserve">Your overall comment</t>
  </si>
</sst>
</file>

<file path=xl/styles.xml><?xml version="1.0" encoding="utf-8"?>
<styleSheet xmlns="http://schemas.openxmlformats.org/spreadsheetml/2006/main">
  <numFmts count="4">
    <numFmt numFmtId="164" formatCode="General"/>
    <numFmt numFmtId="165" formatCode="0.0%"/>
    <numFmt numFmtId="166" formatCode="0.0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8"/>
      <color rgb="FF1F4E79"/>
      <name val="Arial"/>
      <family val="0"/>
      <charset val="1"/>
    </font>
    <font>
      <b val="true"/>
      <sz val="11"/>
      <name val="Arial"/>
      <family val="0"/>
      <charset val="1"/>
    </font>
    <font>
      <sz val="10"/>
      <color rgb="FF0000FF"/>
      <name val="Arial"/>
      <family val="0"/>
      <charset val="1"/>
    </font>
    <font>
      <sz val="10"/>
      <color rgb="FF000000"/>
      <name val="Arial"/>
      <family val="0"/>
      <charset val="1"/>
    </font>
    <font>
      <sz val="10"/>
      <name val="Arial"/>
      <family val="0"/>
      <charset val="1"/>
    </font>
    <font>
      <b val="true"/>
      <sz val="12"/>
      <color rgb="FF1F4E79"/>
      <name val="Arial"/>
      <family val="0"/>
      <charset val="1"/>
    </font>
    <font>
      <b val="true"/>
      <sz val="16"/>
      <color rgb="FF1F4E79"/>
      <name val="Arial"/>
      <family val="0"/>
      <charset val="1"/>
    </font>
    <font>
      <b val="true"/>
      <sz val="11"/>
      <color rgb="FFFFFFFF"/>
      <name val="Arial"/>
      <family val="0"/>
      <charset val="1"/>
    </font>
    <font>
      <b val="true"/>
      <sz val="10"/>
      <color rgb="FF000000"/>
      <name val="Arial"/>
      <family val="0"/>
      <charset val="1"/>
    </font>
    <font>
      <b val="true"/>
      <sz val="10"/>
      <color rgb="FF1F4E79"/>
      <name val="Arial"/>
      <family val="0"/>
      <charset val="1"/>
    </font>
    <font>
      <sz val="11"/>
      <name val="Arial"/>
      <family val="0"/>
      <charset val="1"/>
    </font>
  </fonts>
  <fills count="5">
    <fill>
      <patternFill patternType="none"/>
    </fill>
    <fill>
      <patternFill patternType="gray125"/>
    </fill>
    <fill>
      <patternFill patternType="solid">
        <fgColor rgb="FFFFFFFF"/>
        <bgColor rgb="FFF2F2F2"/>
      </patternFill>
    </fill>
    <fill>
      <patternFill patternType="solid">
        <fgColor rgb="FF1F4E79"/>
        <bgColor rgb="FF003366"/>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5" fontId="14" fillId="0" borderId="0" xfId="0" applyFont="true" applyBorder="false" applyAlignment="true" applyProtection="false">
      <alignment horizontal="left" vertical="bottom" textRotation="0" wrapText="false" indent="0" shrinkToFit="false"/>
      <protection locked="true" hidden="false"/>
    </xf>
    <xf numFmtId="166" fontId="14" fillId="0" borderId="0" xfId="0" applyFont="true" applyBorder="false" applyAlignment="true" applyProtection="false">
      <alignment horizontal="left" vertical="bottom" textRotation="0" wrapText="false" indent="0" shrinkToFit="false"/>
      <protection locked="true" hidden="false"/>
    </xf>
    <xf numFmtId="167" fontId="1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F2CC"/>
        </patternFill>
      </fill>
    </dxf>
    <dxf>
      <fill>
        <patternFill>
          <bgColor rgb="FFC6EF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2"/>
  </cols>
  <sheetData>
    <row r="1" customFormat="false" ht="22.0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0" t="s">
        <v>5</v>
      </c>
      <c r="B5" s="4" t="s">
        <v>6</v>
      </c>
    </row>
    <row r="6" customFormat="false" ht="15" hidden="false" customHeight="false" outlineLevel="0" collapsed="false">
      <c r="A6" s="0" t="s">
        <v>7</v>
      </c>
      <c r="B6" s="3" t="s">
        <v>8</v>
      </c>
    </row>
    <row r="7" customFormat="false" ht="15" hidden="false" customHeight="false" outlineLevel="0" collapsed="false">
      <c r="A7" s="0" t="s">
        <v>9</v>
      </c>
      <c r="B7" s="3" t="s">
        <v>8</v>
      </c>
    </row>
    <row r="9" customFormat="false" ht="15" hidden="false" customHeight="false" outlineLevel="0" collapsed="false">
      <c r="A9" s="5"/>
      <c r="B9" s="5"/>
      <c r="C9" s="5"/>
      <c r="D9" s="5"/>
      <c r="E9" s="5"/>
      <c r="F9" s="5"/>
      <c r="G9" s="5"/>
      <c r="H9" s="5"/>
    </row>
    <row r="10" customFormat="false" ht="15" hidden="false" customHeight="true" outlineLevel="0" collapsed="false">
      <c r="A10" s="6" t="s">
        <v>10</v>
      </c>
      <c r="B10" s="6"/>
      <c r="C10" s="6"/>
      <c r="D10" s="6"/>
      <c r="E10" s="6"/>
      <c r="F10" s="6"/>
      <c r="G10" s="6"/>
      <c r="H10" s="6"/>
    </row>
    <row r="11" customFormat="false" ht="15" hidden="false" customHeight="false" outlineLevel="0" collapsed="false">
      <c r="A11" s="5"/>
      <c r="B11" s="5"/>
      <c r="C11" s="5"/>
      <c r="D11" s="5"/>
      <c r="E11" s="5"/>
      <c r="F11" s="5"/>
      <c r="G11" s="5"/>
      <c r="H11" s="5"/>
    </row>
    <row r="12" customFormat="false" ht="23.85" hidden="false" customHeight="true" outlineLevel="0" collapsed="false">
      <c r="A12" s="5" t="s">
        <v>11</v>
      </c>
      <c r="B12" s="5"/>
      <c r="C12" s="5"/>
      <c r="D12" s="5"/>
      <c r="E12" s="5"/>
      <c r="F12" s="5"/>
      <c r="G12" s="5"/>
      <c r="H12" s="5"/>
    </row>
    <row r="13" customFormat="false" ht="15" hidden="false" customHeight="true" outlineLevel="0" collapsed="false">
      <c r="A13" s="5" t="s">
        <v>12</v>
      </c>
      <c r="B13" s="5"/>
      <c r="C13" s="5"/>
      <c r="D13" s="5"/>
      <c r="E13" s="5"/>
      <c r="F13" s="5"/>
      <c r="G13" s="5"/>
      <c r="H13" s="5"/>
    </row>
    <row r="14" customFormat="false" ht="23.85" hidden="false" customHeight="true" outlineLevel="0" collapsed="false">
      <c r="A14" s="5" t="s">
        <v>13</v>
      </c>
      <c r="B14" s="5"/>
      <c r="C14" s="5"/>
      <c r="D14" s="5"/>
      <c r="E14" s="5"/>
      <c r="F14" s="5"/>
      <c r="G14" s="5"/>
      <c r="H14" s="5"/>
    </row>
    <row r="15" customFormat="false" ht="15" hidden="false" customHeight="true" outlineLevel="0" collapsed="false">
      <c r="A15" s="5" t="s">
        <v>14</v>
      </c>
      <c r="B15" s="5"/>
      <c r="C15" s="5"/>
      <c r="D15" s="5"/>
      <c r="E15" s="5"/>
      <c r="F15" s="5"/>
      <c r="G15" s="5"/>
      <c r="H15" s="5"/>
    </row>
    <row r="16" customFormat="false" ht="15" hidden="false" customHeight="true" outlineLevel="0" collapsed="false">
      <c r="A16" s="5" t="s">
        <v>15</v>
      </c>
      <c r="B16" s="5"/>
      <c r="C16" s="5"/>
      <c r="D16" s="5"/>
      <c r="E16" s="5"/>
      <c r="F16" s="5"/>
      <c r="G16" s="5"/>
      <c r="H16" s="5"/>
    </row>
    <row r="17" customFormat="false" ht="15" hidden="false" customHeight="false" outlineLevel="0" collapsed="false">
      <c r="A17" s="5"/>
      <c r="B17" s="5"/>
      <c r="C17" s="5"/>
      <c r="D17" s="5"/>
      <c r="E17" s="5"/>
      <c r="F17" s="5"/>
      <c r="G17" s="5"/>
      <c r="H17" s="5"/>
    </row>
    <row r="18" customFormat="false" ht="15" hidden="false" customHeight="true" outlineLevel="0" collapsed="false">
      <c r="A18" s="6" t="s">
        <v>16</v>
      </c>
      <c r="B18" s="6"/>
      <c r="C18" s="6"/>
      <c r="D18" s="6"/>
      <c r="E18" s="6"/>
      <c r="F18" s="6"/>
      <c r="G18" s="6"/>
      <c r="H18" s="6"/>
    </row>
    <row r="19" customFormat="false" ht="15" hidden="false" customHeight="true" outlineLevel="0" collapsed="false">
      <c r="A19" s="5" t="s">
        <v>17</v>
      </c>
      <c r="B19" s="5"/>
      <c r="C19" s="5"/>
      <c r="D19" s="5"/>
      <c r="E19" s="5"/>
      <c r="F19" s="5"/>
      <c r="G19" s="5"/>
      <c r="H19" s="5"/>
    </row>
    <row r="20" customFormat="false" ht="15" hidden="false" customHeight="true" outlineLevel="0" collapsed="false">
      <c r="A20" s="5" t="s">
        <v>18</v>
      </c>
      <c r="B20" s="5"/>
      <c r="C20" s="5"/>
      <c r="D20" s="5"/>
      <c r="E20" s="5"/>
      <c r="F20" s="5"/>
      <c r="G20" s="5"/>
      <c r="H20" s="5"/>
    </row>
    <row r="21" customFormat="false" ht="15" hidden="false" customHeight="true" outlineLevel="0" collapsed="false">
      <c r="A21" s="5" t="s">
        <v>19</v>
      </c>
      <c r="B21" s="5"/>
      <c r="C21" s="5"/>
      <c r="D21" s="5"/>
      <c r="E21" s="5"/>
      <c r="F21" s="5"/>
      <c r="G21" s="5"/>
      <c r="H21" s="5"/>
    </row>
    <row r="22" customFormat="false" ht="15" hidden="false" customHeight="false" outlineLevel="0" collapsed="false">
      <c r="A22" s="5"/>
      <c r="B22" s="5"/>
      <c r="C22" s="5"/>
      <c r="D22" s="5"/>
      <c r="E22" s="5"/>
      <c r="F22" s="5"/>
      <c r="G22" s="5"/>
      <c r="H22" s="5"/>
    </row>
    <row r="23" customFormat="false" ht="23.85" hidden="false" customHeight="true" outlineLevel="0" collapsed="false">
      <c r="A23" s="5" t="s">
        <v>20</v>
      </c>
      <c r="B23" s="5"/>
      <c r="C23" s="5"/>
      <c r="D23" s="5"/>
      <c r="E23" s="5"/>
      <c r="F23" s="5"/>
      <c r="G23" s="5"/>
      <c r="H23" s="5"/>
    </row>
    <row r="24" customFormat="false" ht="15" hidden="false" customHeight="false" outlineLevel="0" collapsed="false">
      <c r="A24" s="5"/>
      <c r="B24" s="5"/>
      <c r="C24" s="5"/>
      <c r="D24" s="5"/>
      <c r="E24" s="5"/>
      <c r="F24" s="5"/>
      <c r="G24" s="5"/>
      <c r="H24" s="5"/>
    </row>
    <row r="25" customFormat="false" ht="23.85" hidden="false" customHeight="true" outlineLevel="0" collapsed="false">
      <c r="A25" s="5" t="s">
        <v>21</v>
      </c>
      <c r="B25" s="5"/>
      <c r="C25" s="5"/>
      <c r="D25" s="5"/>
      <c r="E25" s="5"/>
      <c r="F25" s="5"/>
      <c r="G25" s="5"/>
      <c r="H25" s="5"/>
    </row>
  </sheetData>
  <mergeCells count="17">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48"/>
    <col collapsed="false" customWidth="true" hidden="false" outlineLevel="0" max="5" min="3" style="0" width="30"/>
  </cols>
  <sheetData>
    <row r="1" customFormat="false" ht="19.7" hidden="false" customHeight="false" outlineLevel="0" collapsed="false">
      <c r="A1" s="7" t="s">
        <v>22</v>
      </c>
      <c r="B1" s="7"/>
      <c r="C1" s="7"/>
      <c r="D1" s="7"/>
      <c r="E1" s="7"/>
    </row>
    <row r="3" customFormat="false" ht="15" hidden="false" customHeight="false" outlineLevel="0" collapsed="false">
      <c r="A3" s="8" t="s">
        <v>23</v>
      </c>
      <c r="B3" s="8" t="s">
        <v>24</v>
      </c>
      <c r="C3" s="8" t="s">
        <v>25</v>
      </c>
      <c r="D3" s="8" t="s">
        <v>26</v>
      </c>
      <c r="E3" s="8" t="s">
        <v>27</v>
      </c>
    </row>
    <row r="4" customFormat="false" ht="78" hidden="false" customHeight="true" outlineLevel="0" collapsed="false">
      <c r="A4" s="9" t="s">
        <v>28</v>
      </c>
      <c r="B4" s="10" t="s">
        <v>29</v>
      </c>
      <c r="C4" s="10" t="s">
        <v>30</v>
      </c>
      <c r="D4" s="10" t="s">
        <v>31</v>
      </c>
      <c r="E4" s="10" t="s">
        <v>32</v>
      </c>
    </row>
    <row r="5" customFormat="false" ht="78" hidden="false" customHeight="true" outlineLevel="0" collapsed="false">
      <c r="A5" s="11" t="s">
        <v>33</v>
      </c>
      <c r="B5" s="12" t="s">
        <v>34</v>
      </c>
      <c r="C5" s="12" t="s">
        <v>35</v>
      </c>
      <c r="D5" s="12" t="s">
        <v>36</v>
      </c>
      <c r="E5" s="12" t="s">
        <v>37</v>
      </c>
    </row>
    <row r="6" customFormat="false" ht="78" hidden="false" customHeight="true" outlineLevel="0" collapsed="false">
      <c r="A6" s="9" t="s">
        <v>38</v>
      </c>
      <c r="B6" s="10" t="s">
        <v>39</v>
      </c>
      <c r="C6" s="10" t="s">
        <v>40</v>
      </c>
      <c r="D6" s="10" t="s">
        <v>41</v>
      </c>
      <c r="E6" s="10" t="s">
        <v>42</v>
      </c>
    </row>
    <row r="7" customFormat="false" ht="78" hidden="false" customHeight="true" outlineLevel="0" collapsed="false">
      <c r="A7" s="11" t="s">
        <v>43</v>
      </c>
      <c r="B7" s="12" t="s">
        <v>44</v>
      </c>
      <c r="C7" s="12" t="s">
        <v>45</v>
      </c>
      <c r="D7" s="12" t="s">
        <v>46</v>
      </c>
      <c r="E7" s="12" t="s">
        <v>47</v>
      </c>
    </row>
    <row r="8" customFormat="false" ht="78" hidden="false" customHeight="true" outlineLevel="0" collapsed="false">
      <c r="A8" s="9" t="s">
        <v>48</v>
      </c>
      <c r="B8" s="10" t="s">
        <v>49</v>
      </c>
      <c r="C8" s="10" t="s">
        <v>50</v>
      </c>
      <c r="D8" s="10" t="s">
        <v>51</v>
      </c>
      <c r="E8" s="10" t="s">
        <v>52</v>
      </c>
    </row>
    <row r="9" customFormat="false" ht="78" hidden="false" customHeight="true" outlineLevel="0" collapsed="false">
      <c r="A9" s="11" t="s">
        <v>53</v>
      </c>
      <c r="B9" s="12" t="s">
        <v>54</v>
      </c>
      <c r="C9" s="12" t="s">
        <v>55</v>
      </c>
      <c r="D9" s="12" t="s">
        <v>56</v>
      </c>
      <c r="E9" s="12" t="s">
        <v>57</v>
      </c>
    </row>
    <row r="10" customFormat="false" ht="78" hidden="false" customHeight="true" outlineLevel="0" collapsed="false">
      <c r="A10" s="9" t="s">
        <v>58</v>
      </c>
      <c r="B10" s="10" t="s">
        <v>59</v>
      </c>
      <c r="C10" s="10" t="s">
        <v>60</v>
      </c>
      <c r="D10" s="10" t="s">
        <v>61</v>
      </c>
      <c r="E10" s="10" t="s">
        <v>62</v>
      </c>
    </row>
    <row r="11" customFormat="false" ht="78" hidden="false" customHeight="true" outlineLevel="0" collapsed="false">
      <c r="A11" s="11" t="s">
        <v>63</v>
      </c>
      <c r="B11" s="12" t="s">
        <v>64</v>
      </c>
      <c r="C11" s="12" t="s">
        <v>65</v>
      </c>
      <c r="D11" s="12" t="s">
        <v>66</v>
      </c>
      <c r="E11" s="12" t="s">
        <v>67</v>
      </c>
    </row>
    <row r="13" customFormat="false" ht="15" hidden="false" customHeight="false" outlineLevel="0" collapsed="false">
      <c r="A13" s="13" t="s">
        <v>68</v>
      </c>
    </row>
    <row r="14" customFormat="false" ht="15" hidden="false" customHeight="false" outlineLevel="0" collapsed="false">
      <c r="A14" s="14" t="s">
        <v>69</v>
      </c>
      <c r="B14" s="14"/>
      <c r="C14" s="14"/>
      <c r="D14" s="14"/>
      <c r="E14" s="14"/>
    </row>
    <row r="15" customFormat="false" ht="15" hidden="false" customHeight="false" outlineLevel="0" collapsed="false">
      <c r="A15" s="14" t="s">
        <v>70</v>
      </c>
      <c r="B15" s="14"/>
      <c r="C15" s="14"/>
      <c r="D15" s="14"/>
      <c r="E15" s="14"/>
    </row>
    <row r="16" customFormat="false" ht="15" hidden="false" customHeight="false" outlineLevel="0" collapsed="false">
      <c r="A16" s="14" t="s">
        <v>71</v>
      </c>
      <c r="B16" s="14"/>
      <c r="C16" s="14"/>
      <c r="D16" s="14"/>
      <c r="E16" s="14"/>
    </row>
    <row r="17" customFormat="false" ht="15" hidden="false" customHeight="false" outlineLevel="0" collapsed="false">
      <c r="A17" s="14" t="s">
        <v>72</v>
      </c>
      <c r="B17" s="14"/>
      <c r="C17" s="14"/>
      <c r="D17" s="14"/>
      <c r="E17" s="14"/>
    </row>
  </sheetData>
  <mergeCells count="5">
    <mergeCell ref="A1:E1"/>
    <mergeCell ref="A14:E14"/>
    <mergeCell ref="A15:E15"/>
    <mergeCell ref="A16:E16"/>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8" ySplit="1" topLeftCell="I2" activePane="bottomRight" state="frozen"/>
      <selection pane="topLeft" activeCell="A1" activeCellId="0" sqref="A1"/>
      <selection pane="topRight" activeCell="I1" activeCellId="0" sqref="I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3"/>
    <col collapsed="false" customWidth="true" hidden="false" outlineLevel="0" max="3" min="2" style="0" width="18"/>
    <col collapsed="false" customWidth="true" hidden="false" outlineLevel="0" max="4" min="4" style="0" width="12"/>
    <col collapsed="false" customWidth="true" hidden="false" outlineLevel="0" max="5" min="5" style="0" width="45"/>
    <col collapsed="false" customWidth="true" hidden="false" outlineLevel="0" max="6" min="6" style="0" width="60"/>
    <col collapsed="false" customWidth="true" hidden="false" outlineLevel="0" max="7" min="7" style="0" width="30"/>
    <col collapsed="false" customWidth="true" hidden="false" outlineLevel="0" max="8" min="8" style="0" width="45"/>
    <col collapsed="false" customWidth="true" hidden="false" outlineLevel="0" max="9" min="9" style="0" width="9"/>
    <col collapsed="false" customWidth="true" hidden="false" outlineLevel="0" max="10" min="10" style="0" width="28"/>
    <col collapsed="false" customWidth="true" hidden="false" outlineLevel="0" max="11" min="11" style="0" width="9"/>
    <col collapsed="false" customWidth="true" hidden="false" outlineLevel="0" max="12" min="12" style="0" width="28"/>
    <col collapsed="false" customWidth="true" hidden="false" outlineLevel="0" max="13" min="13" style="0" width="9"/>
    <col collapsed="false" customWidth="true" hidden="false" outlineLevel="0" max="14" min="14" style="0" width="28"/>
    <col collapsed="false" customWidth="true" hidden="false" outlineLevel="0" max="15" min="15" style="0" width="11"/>
    <col collapsed="false" customWidth="true" hidden="false" outlineLevel="0" max="16" min="16" style="0" width="28"/>
    <col collapsed="false" customWidth="true" hidden="false" outlineLevel="0" max="17" min="17" style="0" width="11"/>
    <col collapsed="false" customWidth="true" hidden="false" outlineLevel="0" max="18" min="18" style="0" width="28"/>
    <col collapsed="false" customWidth="true" hidden="false" outlineLevel="0" max="19" min="19" style="0" width="9"/>
    <col collapsed="false" customWidth="true" hidden="false" outlineLevel="0" max="20" min="20" style="0" width="28"/>
    <col collapsed="false" customWidth="true" hidden="false" outlineLevel="0" max="21" min="21" style="0" width="9"/>
    <col collapsed="false" customWidth="true" hidden="false" outlineLevel="0" max="22" min="22" style="0" width="28"/>
    <col collapsed="false" customWidth="true" hidden="false" outlineLevel="0" max="23" min="23" style="0" width="10"/>
    <col collapsed="false" customWidth="true" hidden="false" outlineLevel="0" max="24" min="24" style="0" width="28"/>
    <col collapsed="false" customWidth="true" hidden="false" outlineLevel="0" max="25" min="25" style="0" width="14"/>
    <col collapsed="false" customWidth="true" hidden="false" outlineLevel="0" max="26" min="26" style="0" width="50"/>
    <col collapsed="false" customWidth="true" hidden="false" outlineLevel="0" max="27" min="27" style="0" width="10"/>
    <col collapsed="false" customWidth="true" hidden="false" outlineLevel="0" max="28" min="28" style="0" width="30"/>
    <col collapsed="false" customWidth="true" hidden="false" outlineLevel="0" max="29" min="29" style="0" width="12"/>
    <col collapsed="false" customWidth="true" hidden="false" outlineLevel="0" max="30" min="30" style="0" width="10"/>
    <col collapsed="false" customWidth="true" hidden="false" outlineLevel="0" max="31" min="31" style="0" width="16"/>
  </cols>
  <sheetData>
    <row r="1" customFormat="false" ht="45.75" hidden="false" customHeight="true" outlineLevel="0" collapsed="false">
      <c r="A1" s="8" t="s">
        <v>73</v>
      </c>
      <c r="B1" s="8" t="s">
        <v>74</v>
      </c>
      <c r="C1" s="8" t="s">
        <v>75</v>
      </c>
      <c r="D1" s="8" t="s">
        <v>76</v>
      </c>
      <c r="E1" s="8" t="s">
        <v>77</v>
      </c>
      <c r="F1" s="8" t="s">
        <v>78</v>
      </c>
      <c r="G1" s="8" t="s">
        <v>79</v>
      </c>
      <c r="H1" s="8" t="s">
        <v>80</v>
      </c>
      <c r="I1" s="8" t="s">
        <v>81</v>
      </c>
      <c r="J1" s="8" t="s">
        <v>82</v>
      </c>
      <c r="K1" s="8" t="s">
        <v>83</v>
      </c>
      <c r="L1" s="8" t="s">
        <v>84</v>
      </c>
      <c r="M1" s="8" t="s">
        <v>85</v>
      </c>
      <c r="N1" s="8" t="s">
        <v>86</v>
      </c>
      <c r="O1" s="8" t="s">
        <v>87</v>
      </c>
      <c r="P1" s="8" t="s">
        <v>88</v>
      </c>
      <c r="Q1" s="8" t="s">
        <v>89</v>
      </c>
      <c r="R1" s="8" t="s">
        <v>90</v>
      </c>
      <c r="S1" s="8" t="s">
        <v>91</v>
      </c>
      <c r="T1" s="8" t="s">
        <v>92</v>
      </c>
      <c r="U1" s="8" t="s">
        <v>93</v>
      </c>
      <c r="V1" s="8" t="s">
        <v>94</v>
      </c>
      <c r="W1" s="8" t="s">
        <v>95</v>
      </c>
      <c r="X1" s="8" t="s">
        <v>96</v>
      </c>
      <c r="Y1" s="8" t="s">
        <v>97</v>
      </c>
      <c r="Z1" s="8" t="s">
        <v>98</v>
      </c>
      <c r="AA1" s="8" t="s">
        <v>99</v>
      </c>
      <c r="AB1" s="8" t="s">
        <v>100</v>
      </c>
      <c r="AC1" s="8" t="s">
        <v>101</v>
      </c>
      <c r="AD1" s="8" t="s">
        <v>102</v>
      </c>
      <c r="AE1" s="8" t="s">
        <v>103</v>
      </c>
    </row>
    <row r="2" customFormat="false" ht="240" hidden="false" customHeight="true" outlineLevel="0" collapsed="false">
      <c r="A2" s="15" t="s">
        <v>104</v>
      </c>
      <c r="B2" s="4" t="s">
        <v>105</v>
      </c>
      <c r="C2" s="4" t="s">
        <v>106</v>
      </c>
      <c r="D2" s="4" t="n">
        <v>3</v>
      </c>
      <c r="E2" s="4" t="s">
        <v>107</v>
      </c>
      <c r="F2" s="4" t="s">
        <v>108</v>
      </c>
      <c r="G2" s="4" t="s">
        <v>109</v>
      </c>
      <c r="H2" s="4" t="s">
        <v>110</v>
      </c>
      <c r="I2" s="3"/>
      <c r="J2" s="3"/>
      <c r="K2" s="3"/>
      <c r="L2" s="3"/>
      <c r="M2" s="3"/>
      <c r="N2" s="3"/>
      <c r="O2" s="3"/>
      <c r="P2" s="3"/>
      <c r="Q2" s="3"/>
      <c r="R2" s="3"/>
      <c r="S2" s="3"/>
      <c r="T2" s="3"/>
      <c r="U2" s="3"/>
      <c r="V2" s="3"/>
      <c r="W2" s="3"/>
      <c r="X2" s="3"/>
      <c r="Y2" s="16" t="str">
        <f aca="false">IFERROR((IFERROR(VALUE(I2),0)+IFERROR(VALUE(K2),0)+IFERROR(VALUE(M2),0)+IFERROR(VALUE(O2),0)+IFERROR(VALUE(Q2),0)+IFERROR(VALUE(S2),0)+IFERROR(VALUE(U2),0)+IFERROR(VALUE(W2),0))/(IF(ISNUMBER(I2),1,0)+IF(ISNUMBER(K2),1,0)+IF(ISNUMBER(M2),1,0)+IF(ISNUMBER(O2),1,0)+IF(ISNUMBER(Q2),1,0)+IF(ISNUMBER(S2),1,0)+IF(ISNUMBER(U2),1,0)+IF(ISNUMBER(W2),1,0)),"")</f>
        <v/>
      </c>
      <c r="Z2" s="3"/>
      <c r="AA2" s="3"/>
      <c r="AB2" s="3"/>
      <c r="AC2" s="3"/>
      <c r="AD2" s="3"/>
      <c r="AE2" s="16" t="str">
        <f aca="false">IF(AND((IF(ISNUMBER(I2)+ISTEXT(I2),1,0)+IF(ISNUMBER(K2)+ISTEXT(K2),1,0)+IF(ISNUMBER(M2)+ISTEXT(M2),1,0)+IF(ISNUMBER(O2)+ISTEXT(O2),1,0)+IF(ISNUMBER(Q2)+ISTEXT(Q2),1,0)+IF(ISNUMBER(S2)+ISTEXT(S2),1,0)+IF(ISNUMBER(U2)+ISTEXT(U2),1,0)+IF(ISNUMBER(W2)+ISTEXT(W2),1,0))&gt;=6,IF(Z2&lt;&gt;"",1,0)=1),"COMPLETE",IF((IF(ISNUMBER(I2)+ISTEXT(I2),1,0)+IF(ISNUMBER(K2)+ISTEXT(K2),1,0)+IF(ISNUMBER(M2)+ISTEXT(M2),1,0)+IF(ISNUMBER(O2)+ISTEXT(O2),1,0)+IF(ISNUMBER(Q2)+ISTEXT(Q2),1,0)+IF(ISNUMBER(S2)+ISTEXT(S2),1,0)+IF(ISNUMBER(U2)+ISTEXT(U2),1,0)+IF(ISNUMBER(W2)+ISTEXT(W2),1,0))=0,"NOT STARTED","IN PROGRESS"))</f>
        <v>NOT STARTED</v>
      </c>
    </row>
    <row r="3" customFormat="false" ht="240" hidden="false" customHeight="true" outlineLevel="0" collapsed="false">
      <c r="A3" s="15" t="s">
        <v>111</v>
      </c>
      <c r="B3" s="4" t="s">
        <v>112</v>
      </c>
      <c r="C3" s="4" t="s">
        <v>113</v>
      </c>
      <c r="D3" s="4" t="n">
        <v>2</v>
      </c>
      <c r="E3" s="4" t="s">
        <v>114</v>
      </c>
      <c r="F3" s="4" t="s">
        <v>115</v>
      </c>
      <c r="G3" s="4" t="s">
        <v>116</v>
      </c>
      <c r="H3" s="4" t="s">
        <v>117</v>
      </c>
      <c r="I3" s="3"/>
      <c r="J3" s="3"/>
      <c r="K3" s="3"/>
      <c r="L3" s="3"/>
      <c r="M3" s="3"/>
      <c r="N3" s="3"/>
      <c r="O3" s="3"/>
      <c r="P3" s="3"/>
      <c r="Q3" s="3"/>
      <c r="R3" s="3"/>
      <c r="S3" s="3"/>
      <c r="T3" s="3"/>
      <c r="U3" s="3"/>
      <c r="V3" s="3"/>
      <c r="W3" s="3"/>
      <c r="X3" s="3"/>
      <c r="Y3" s="16" t="str">
        <f aca="false">IFERROR((IFERROR(VALUE(I3),0)+IFERROR(VALUE(K3),0)+IFERROR(VALUE(M3),0)+IFERROR(VALUE(O3),0)+IFERROR(VALUE(Q3),0)+IFERROR(VALUE(S3),0)+IFERROR(VALUE(U3),0)+IFERROR(VALUE(W3),0))/(IF(ISNUMBER(I3),1,0)+IF(ISNUMBER(K3),1,0)+IF(ISNUMBER(M3),1,0)+IF(ISNUMBER(O3),1,0)+IF(ISNUMBER(Q3),1,0)+IF(ISNUMBER(S3),1,0)+IF(ISNUMBER(U3),1,0)+IF(ISNUMBER(W3),1,0)),"")</f>
        <v/>
      </c>
      <c r="Z3" s="3"/>
      <c r="AA3" s="3"/>
      <c r="AB3" s="3"/>
      <c r="AC3" s="3"/>
      <c r="AD3" s="3"/>
      <c r="AE3" s="16" t="str">
        <f aca="false">IF(AND((IF(ISNUMBER(I3)+ISTEXT(I3),1,0)+IF(ISNUMBER(K3)+ISTEXT(K3),1,0)+IF(ISNUMBER(M3)+ISTEXT(M3),1,0)+IF(ISNUMBER(O3)+ISTEXT(O3),1,0)+IF(ISNUMBER(Q3)+ISTEXT(Q3),1,0)+IF(ISNUMBER(S3)+ISTEXT(S3),1,0)+IF(ISNUMBER(U3)+ISTEXT(U3),1,0)+IF(ISNUMBER(W3)+ISTEXT(W3),1,0))&gt;=6,IF(Z3&lt;&gt;"",1,0)=1),"COMPLETE",IF((IF(ISNUMBER(I3)+ISTEXT(I3),1,0)+IF(ISNUMBER(K3)+ISTEXT(K3),1,0)+IF(ISNUMBER(M3)+ISTEXT(M3),1,0)+IF(ISNUMBER(O3)+ISTEXT(O3),1,0)+IF(ISNUMBER(Q3)+ISTEXT(Q3),1,0)+IF(ISNUMBER(S3)+ISTEXT(S3),1,0)+IF(ISNUMBER(U3)+ISTEXT(U3),1,0)+IF(ISNUMBER(W3)+ISTEXT(W3),1,0))=0,"NOT STARTED","IN PROGRESS"))</f>
        <v>NOT STARTED</v>
      </c>
    </row>
    <row r="4" customFormat="false" ht="240" hidden="false" customHeight="true" outlineLevel="0" collapsed="false">
      <c r="A4" s="15" t="s">
        <v>118</v>
      </c>
      <c r="B4" s="4" t="s">
        <v>119</v>
      </c>
      <c r="C4" s="4" t="s">
        <v>120</v>
      </c>
      <c r="D4" s="4" t="n">
        <v>4</v>
      </c>
      <c r="E4" s="4" t="s">
        <v>121</v>
      </c>
      <c r="F4" s="4" t="s">
        <v>122</v>
      </c>
      <c r="G4" s="4" t="s">
        <v>123</v>
      </c>
      <c r="H4" s="4" t="s">
        <v>124</v>
      </c>
      <c r="I4" s="3"/>
      <c r="J4" s="3"/>
      <c r="K4" s="3"/>
      <c r="L4" s="3"/>
      <c r="M4" s="3"/>
      <c r="N4" s="3"/>
      <c r="O4" s="3"/>
      <c r="P4" s="3"/>
      <c r="Q4" s="3"/>
      <c r="R4" s="3"/>
      <c r="S4" s="3"/>
      <c r="T4" s="3"/>
      <c r="U4" s="3"/>
      <c r="V4" s="3"/>
      <c r="W4" s="3"/>
      <c r="X4" s="3"/>
      <c r="Y4" s="16" t="str">
        <f aca="false">IFERROR((IFERROR(VALUE(I4),0)+IFERROR(VALUE(K4),0)+IFERROR(VALUE(M4),0)+IFERROR(VALUE(O4),0)+IFERROR(VALUE(Q4),0)+IFERROR(VALUE(S4),0)+IFERROR(VALUE(U4),0)+IFERROR(VALUE(W4),0))/(IF(ISNUMBER(I4),1,0)+IF(ISNUMBER(K4),1,0)+IF(ISNUMBER(M4),1,0)+IF(ISNUMBER(O4),1,0)+IF(ISNUMBER(Q4),1,0)+IF(ISNUMBER(S4),1,0)+IF(ISNUMBER(U4),1,0)+IF(ISNUMBER(W4),1,0)),"")</f>
        <v/>
      </c>
      <c r="Z4" s="3"/>
      <c r="AA4" s="3"/>
      <c r="AB4" s="3"/>
      <c r="AC4" s="3"/>
      <c r="AD4" s="3"/>
      <c r="AE4" s="16" t="str">
        <f aca="false">IF(AND((IF(ISNUMBER(I4)+ISTEXT(I4),1,0)+IF(ISNUMBER(K4)+ISTEXT(K4),1,0)+IF(ISNUMBER(M4)+ISTEXT(M4),1,0)+IF(ISNUMBER(O4)+ISTEXT(O4),1,0)+IF(ISNUMBER(Q4)+ISTEXT(Q4),1,0)+IF(ISNUMBER(S4)+ISTEXT(S4),1,0)+IF(ISNUMBER(U4)+ISTEXT(U4),1,0)+IF(ISNUMBER(W4)+ISTEXT(W4),1,0))&gt;=6,IF(Z4&lt;&gt;"",1,0)=1),"COMPLETE",IF((IF(ISNUMBER(I4)+ISTEXT(I4),1,0)+IF(ISNUMBER(K4)+ISTEXT(K4),1,0)+IF(ISNUMBER(M4)+ISTEXT(M4),1,0)+IF(ISNUMBER(O4)+ISTEXT(O4),1,0)+IF(ISNUMBER(Q4)+ISTEXT(Q4),1,0)+IF(ISNUMBER(S4)+ISTEXT(S4),1,0)+IF(ISNUMBER(U4)+ISTEXT(U4),1,0)+IF(ISNUMBER(W4)+ISTEXT(W4),1,0))=0,"NOT STARTED","IN PROGRESS"))</f>
        <v>NOT STARTED</v>
      </c>
    </row>
    <row r="5" customFormat="false" ht="240" hidden="false" customHeight="true" outlineLevel="0" collapsed="false">
      <c r="A5" s="4" t="s">
        <v>125</v>
      </c>
      <c r="B5" s="4"/>
      <c r="C5" s="4"/>
      <c r="D5" s="4"/>
      <c r="E5" s="4"/>
      <c r="F5" s="4"/>
      <c r="G5" s="4"/>
      <c r="H5" s="4"/>
      <c r="I5" s="3"/>
      <c r="J5" s="3"/>
      <c r="K5" s="3"/>
      <c r="L5" s="3"/>
      <c r="M5" s="3"/>
      <c r="N5" s="3"/>
      <c r="O5" s="3"/>
      <c r="P5" s="3"/>
      <c r="Q5" s="3"/>
      <c r="R5" s="3"/>
      <c r="S5" s="3"/>
      <c r="T5" s="3"/>
      <c r="U5" s="3"/>
      <c r="V5" s="3"/>
      <c r="W5" s="3"/>
      <c r="X5" s="3"/>
      <c r="Y5" s="16" t="str">
        <f aca="false">IFERROR((IFERROR(VALUE(I5),0)+IFERROR(VALUE(K5),0)+IFERROR(VALUE(M5),0)+IFERROR(VALUE(O5),0)+IFERROR(VALUE(Q5),0)+IFERROR(VALUE(S5),0)+IFERROR(VALUE(U5),0)+IFERROR(VALUE(W5),0))/(IF(ISNUMBER(I5),1,0)+IF(ISNUMBER(K5),1,0)+IF(ISNUMBER(M5),1,0)+IF(ISNUMBER(O5),1,0)+IF(ISNUMBER(Q5),1,0)+IF(ISNUMBER(S5),1,0)+IF(ISNUMBER(U5),1,0)+IF(ISNUMBER(W5),1,0)),"")</f>
        <v/>
      </c>
      <c r="Z5" s="3"/>
      <c r="AA5" s="3"/>
      <c r="AB5" s="3"/>
      <c r="AC5" s="3"/>
      <c r="AD5" s="3"/>
      <c r="AE5" s="16" t="str">
        <f aca="false">IF(AND((IF(ISNUMBER(I5)+ISTEXT(I5),1,0)+IF(ISNUMBER(K5)+ISTEXT(K5),1,0)+IF(ISNUMBER(M5)+ISTEXT(M5),1,0)+IF(ISNUMBER(O5)+ISTEXT(O5),1,0)+IF(ISNUMBER(Q5)+ISTEXT(Q5),1,0)+IF(ISNUMBER(S5)+ISTEXT(S5),1,0)+IF(ISNUMBER(U5)+ISTEXT(U5),1,0)+IF(ISNUMBER(W5)+ISTEXT(W5),1,0))&gt;=6,IF(Z5&lt;&gt;"",1,0)=1),"COMPLETE",IF((IF(ISNUMBER(I5)+ISTEXT(I5),1,0)+IF(ISNUMBER(K5)+ISTEXT(K5),1,0)+IF(ISNUMBER(M5)+ISTEXT(M5),1,0)+IF(ISNUMBER(O5)+ISTEXT(O5),1,0)+IF(ISNUMBER(Q5)+ISTEXT(Q5),1,0)+IF(ISNUMBER(S5)+ISTEXT(S5),1,0)+IF(ISNUMBER(U5)+ISTEXT(U5),1,0)+IF(ISNUMBER(W5)+ISTEXT(W5),1,0))=0,"NOT STARTED","IN PROGRESS"))</f>
        <v>NOT STARTED</v>
      </c>
    </row>
    <row r="6" customFormat="false" ht="240" hidden="false" customHeight="true" outlineLevel="0" collapsed="false">
      <c r="A6" s="4" t="s">
        <v>126</v>
      </c>
      <c r="B6" s="4"/>
      <c r="C6" s="4"/>
      <c r="D6" s="4"/>
      <c r="E6" s="4"/>
      <c r="F6" s="4"/>
      <c r="G6" s="4"/>
      <c r="H6" s="4"/>
      <c r="I6" s="3"/>
      <c r="J6" s="3"/>
      <c r="K6" s="3"/>
      <c r="L6" s="3"/>
      <c r="M6" s="3"/>
      <c r="N6" s="3"/>
      <c r="O6" s="3"/>
      <c r="P6" s="3"/>
      <c r="Q6" s="3"/>
      <c r="R6" s="3"/>
      <c r="S6" s="3"/>
      <c r="T6" s="3"/>
      <c r="U6" s="3"/>
      <c r="V6" s="3"/>
      <c r="W6" s="3"/>
      <c r="X6" s="3"/>
      <c r="Y6" s="16" t="str">
        <f aca="false">IFERROR((IFERROR(VALUE(I6),0)+IFERROR(VALUE(K6),0)+IFERROR(VALUE(M6),0)+IFERROR(VALUE(O6),0)+IFERROR(VALUE(Q6),0)+IFERROR(VALUE(S6),0)+IFERROR(VALUE(U6),0)+IFERROR(VALUE(W6),0))/(IF(ISNUMBER(I6),1,0)+IF(ISNUMBER(K6),1,0)+IF(ISNUMBER(M6),1,0)+IF(ISNUMBER(O6),1,0)+IF(ISNUMBER(Q6),1,0)+IF(ISNUMBER(S6),1,0)+IF(ISNUMBER(U6),1,0)+IF(ISNUMBER(W6),1,0)),"")</f>
        <v/>
      </c>
      <c r="Z6" s="3"/>
      <c r="AA6" s="3"/>
      <c r="AB6" s="3"/>
      <c r="AC6" s="3"/>
      <c r="AD6" s="3"/>
      <c r="AE6" s="16" t="str">
        <f aca="false">IF(AND((IF(ISNUMBER(I6)+ISTEXT(I6),1,0)+IF(ISNUMBER(K6)+ISTEXT(K6),1,0)+IF(ISNUMBER(M6)+ISTEXT(M6),1,0)+IF(ISNUMBER(O6)+ISTEXT(O6),1,0)+IF(ISNUMBER(Q6)+ISTEXT(Q6),1,0)+IF(ISNUMBER(S6)+ISTEXT(S6),1,0)+IF(ISNUMBER(U6)+ISTEXT(U6),1,0)+IF(ISNUMBER(W6)+ISTEXT(W6),1,0))&gt;=6,IF(Z6&lt;&gt;"",1,0)=1),"COMPLETE",IF((IF(ISNUMBER(I6)+ISTEXT(I6),1,0)+IF(ISNUMBER(K6)+ISTEXT(K6),1,0)+IF(ISNUMBER(M6)+ISTEXT(M6),1,0)+IF(ISNUMBER(O6)+ISTEXT(O6),1,0)+IF(ISNUMBER(Q6)+ISTEXT(Q6),1,0)+IF(ISNUMBER(S6)+ISTEXT(S6),1,0)+IF(ISNUMBER(U6)+ISTEXT(U6),1,0)+IF(ISNUMBER(W6)+ISTEXT(W6),1,0))=0,"NOT STARTED","IN PROGRESS"))</f>
        <v>NOT STARTED</v>
      </c>
    </row>
    <row r="7" customFormat="false" ht="240" hidden="false" customHeight="true" outlineLevel="0" collapsed="false">
      <c r="A7" s="4" t="s">
        <v>127</v>
      </c>
      <c r="B7" s="4"/>
      <c r="C7" s="4"/>
      <c r="D7" s="4"/>
      <c r="E7" s="4"/>
      <c r="F7" s="4"/>
      <c r="G7" s="4"/>
      <c r="H7" s="4"/>
      <c r="I7" s="3"/>
      <c r="J7" s="3"/>
      <c r="K7" s="3"/>
      <c r="L7" s="3"/>
      <c r="M7" s="3"/>
      <c r="N7" s="3"/>
      <c r="O7" s="3"/>
      <c r="P7" s="3"/>
      <c r="Q7" s="3"/>
      <c r="R7" s="3"/>
      <c r="S7" s="3"/>
      <c r="T7" s="3"/>
      <c r="U7" s="3"/>
      <c r="V7" s="3"/>
      <c r="W7" s="3"/>
      <c r="X7" s="3"/>
      <c r="Y7" s="16" t="str">
        <f aca="false">IFERROR((IFERROR(VALUE(I7),0)+IFERROR(VALUE(K7),0)+IFERROR(VALUE(M7),0)+IFERROR(VALUE(O7),0)+IFERROR(VALUE(Q7),0)+IFERROR(VALUE(S7),0)+IFERROR(VALUE(U7),0)+IFERROR(VALUE(W7),0))/(IF(ISNUMBER(I7),1,0)+IF(ISNUMBER(K7),1,0)+IF(ISNUMBER(M7),1,0)+IF(ISNUMBER(O7),1,0)+IF(ISNUMBER(Q7),1,0)+IF(ISNUMBER(S7),1,0)+IF(ISNUMBER(U7),1,0)+IF(ISNUMBER(W7),1,0)),"")</f>
        <v/>
      </c>
      <c r="Z7" s="3"/>
      <c r="AA7" s="3"/>
      <c r="AB7" s="3"/>
      <c r="AC7" s="3"/>
      <c r="AD7" s="3"/>
      <c r="AE7" s="16" t="str">
        <f aca="false">IF(AND((IF(ISNUMBER(I7)+ISTEXT(I7),1,0)+IF(ISNUMBER(K7)+ISTEXT(K7),1,0)+IF(ISNUMBER(M7)+ISTEXT(M7),1,0)+IF(ISNUMBER(O7)+ISTEXT(O7),1,0)+IF(ISNUMBER(Q7)+ISTEXT(Q7),1,0)+IF(ISNUMBER(S7)+ISTEXT(S7),1,0)+IF(ISNUMBER(U7)+ISTEXT(U7),1,0)+IF(ISNUMBER(W7)+ISTEXT(W7),1,0))&gt;=6,IF(Z7&lt;&gt;"",1,0)=1),"COMPLETE",IF((IF(ISNUMBER(I7)+ISTEXT(I7),1,0)+IF(ISNUMBER(K7)+ISTEXT(K7),1,0)+IF(ISNUMBER(M7)+ISTEXT(M7),1,0)+IF(ISNUMBER(O7)+ISTEXT(O7),1,0)+IF(ISNUMBER(Q7)+ISTEXT(Q7),1,0)+IF(ISNUMBER(S7)+ISTEXT(S7),1,0)+IF(ISNUMBER(U7)+ISTEXT(U7),1,0)+IF(ISNUMBER(W7)+ISTEXT(W7),1,0))=0,"NOT STARTED","IN PROGRESS"))</f>
        <v>NOT STARTED</v>
      </c>
    </row>
    <row r="8" customFormat="false" ht="240" hidden="false" customHeight="true" outlineLevel="0" collapsed="false">
      <c r="A8" s="4" t="s">
        <v>128</v>
      </c>
      <c r="B8" s="4"/>
      <c r="C8" s="4"/>
      <c r="D8" s="4"/>
      <c r="E8" s="4"/>
      <c r="F8" s="4"/>
      <c r="G8" s="4"/>
      <c r="H8" s="4"/>
      <c r="I8" s="3"/>
      <c r="J8" s="3"/>
      <c r="K8" s="3"/>
      <c r="L8" s="3"/>
      <c r="M8" s="3"/>
      <c r="N8" s="3"/>
      <c r="O8" s="3"/>
      <c r="P8" s="3"/>
      <c r="Q8" s="3"/>
      <c r="R8" s="3"/>
      <c r="S8" s="3"/>
      <c r="T8" s="3"/>
      <c r="U8" s="3"/>
      <c r="V8" s="3"/>
      <c r="W8" s="3"/>
      <c r="X8" s="3"/>
      <c r="Y8" s="16" t="str">
        <f aca="false">IFERROR((IFERROR(VALUE(I8),0)+IFERROR(VALUE(K8),0)+IFERROR(VALUE(M8),0)+IFERROR(VALUE(O8),0)+IFERROR(VALUE(Q8),0)+IFERROR(VALUE(S8),0)+IFERROR(VALUE(U8),0)+IFERROR(VALUE(W8),0))/(IF(ISNUMBER(I8),1,0)+IF(ISNUMBER(K8),1,0)+IF(ISNUMBER(M8),1,0)+IF(ISNUMBER(O8),1,0)+IF(ISNUMBER(Q8),1,0)+IF(ISNUMBER(S8),1,0)+IF(ISNUMBER(U8),1,0)+IF(ISNUMBER(W8),1,0)),"")</f>
        <v/>
      </c>
      <c r="Z8" s="3"/>
      <c r="AA8" s="3"/>
      <c r="AB8" s="3"/>
      <c r="AC8" s="3"/>
      <c r="AD8" s="3"/>
      <c r="AE8" s="16" t="str">
        <f aca="false">IF(AND((IF(ISNUMBER(I8)+ISTEXT(I8),1,0)+IF(ISNUMBER(K8)+ISTEXT(K8),1,0)+IF(ISNUMBER(M8)+ISTEXT(M8),1,0)+IF(ISNUMBER(O8)+ISTEXT(O8),1,0)+IF(ISNUMBER(Q8)+ISTEXT(Q8),1,0)+IF(ISNUMBER(S8)+ISTEXT(S8),1,0)+IF(ISNUMBER(U8)+ISTEXT(U8),1,0)+IF(ISNUMBER(W8)+ISTEXT(W8),1,0))&gt;=6,IF(Z8&lt;&gt;"",1,0)=1),"COMPLETE",IF((IF(ISNUMBER(I8)+ISTEXT(I8),1,0)+IF(ISNUMBER(K8)+ISTEXT(K8),1,0)+IF(ISNUMBER(M8)+ISTEXT(M8),1,0)+IF(ISNUMBER(O8)+ISTEXT(O8),1,0)+IF(ISNUMBER(Q8)+ISTEXT(Q8),1,0)+IF(ISNUMBER(S8)+ISTEXT(S8),1,0)+IF(ISNUMBER(U8)+ISTEXT(U8),1,0)+IF(ISNUMBER(W8)+ISTEXT(W8),1,0))=0,"NOT STARTED","IN PROGRESS"))</f>
        <v>NOT STARTED</v>
      </c>
    </row>
    <row r="9" customFormat="false" ht="240" hidden="false" customHeight="true" outlineLevel="0" collapsed="false">
      <c r="A9" s="4" t="s">
        <v>129</v>
      </c>
      <c r="B9" s="4"/>
      <c r="C9" s="4"/>
      <c r="D9" s="4"/>
      <c r="E9" s="4"/>
      <c r="F9" s="4"/>
      <c r="G9" s="4"/>
      <c r="H9" s="4"/>
      <c r="I9" s="3"/>
      <c r="J9" s="3"/>
      <c r="K9" s="3"/>
      <c r="L9" s="3"/>
      <c r="M9" s="3"/>
      <c r="N9" s="3"/>
      <c r="O9" s="3"/>
      <c r="P9" s="3"/>
      <c r="Q9" s="3"/>
      <c r="R9" s="3"/>
      <c r="S9" s="3"/>
      <c r="T9" s="3"/>
      <c r="U9" s="3"/>
      <c r="V9" s="3"/>
      <c r="W9" s="3"/>
      <c r="X9" s="3"/>
      <c r="Y9" s="16" t="str">
        <f aca="false">IFERROR((IFERROR(VALUE(I9),0)+IFERROR(VALUE(K9),0)+IFERROR(VALUE(M9),0)+IFERROR(VALUE(O9),0)+IFERROR(VALUE(Q9),0)+IFERROR(VALUE(S9),0)+IFERROR(VALUE(U9),0)+IFERROR(VALUE(W9),0))/(IF(ISNUMBER(I9),1,0)+IF(ISNUMBER(K9),1,0)+IF(ISNUMBER(M9),1,0)+IF(ISNUMBER(O9),1,0)+IF(ISNUMBER(Q9),1,0)+IF(ISNUMBER(S9),1,0)+IF(ISNUMBER(U9),1,0)+IF(ISNUMBER(W9),1,0)),"")</f>
        <v/>
      </c>
      <c r="Z9" s="3"/>
      <c r="AA9" s="3"/>
      <c r="AB9" s="3"/>
      <c r="AC9" s="3"/>
      <c r="AD9" s="3"/>
      <c r="AE9" s="16" t="str">
        <f aca="false">IF(AND((IF(ISNUMBER(I9)+ISTEXT(I9),1,0)+IF(ISNUMBER(K9)+ISTEXT(K9),1,0)+IF(ISNUMBER(M9)+ISTEXT(M9),1,0)+IF(ISNUMBER(O9)+ISTEXT(O9),1,0)+IF(ISNUMBER(Q9)+ISTEXT(Q9),1,0)+IF(ISNUMBER(S9)+ISTEXT(S9),1,0)+IF(ISNUMBER(U9)+ISTEXT(U9),1,0)+IF(ISNUMBER(W9)+ISTEXT(W9),1,0))&gt;=6,IF(Z9&lt;&gt;"",1,0)=1),"COMPLETE",IF((IF(ISNUMBER(I9)+ISTEXT(I9),1,0)+IF(ISNUMBER(K9)+ISTEXT(K9),1,0)+IF(ISNUMBER(M9)+ISTEXT(M9),1,0)+IF(ISNUMBER(O9)+ISTEXT(O9),1,0)+IF(ISNUMBER(Q9)+ISTEXT(Q9),1,0)+IF(ISNUMBER(S9)+ISTEXT(S9),1,0)+IF(ISNUMBER(U9)+ISTEXT(U9),1,0)+IF(ISNUMBER(W9)+ISTEXT(W9),1,0))=0,"NOT STARTED","IN PROGRESS"))</f>
        <v>NOT STARTED</v>
      </c>
    </row>
    <row r="10" customFormat="false" ht="240" hidden="false" customHeight="true" outlineLevel="0" collapsed="false">
      <c r="A10" s="4" t="s">
        <v>130</v>
      </c>
      <c r="B10" s="4"/>
      <c r="C10" s="4"/>
      <c r="D10" s="4"/>
      <c r="E10" s="4"/>
      <c r="F10" s="4"/>
      <c r="G10" s="4"/>
      <c r="H10" s="4"/>
      <c r="I10" s="3"/>
      <c r="J10" s="3"/>
      <c r="K10" s="3"/>
      <c r="L10" s="3"/>
      <c r="M10" s="3"/>
      <c r="N10" s="3"/>
      <c r="O10" s="3"/>
      <c r="P10" s="3"/>
      <c r="Q10" s="3"/>
      <c r="R10" s="3"/>
      <c r="S10" s="3"/>
      <c r="T10" s="3"/>
      <c r="U10" s="3"/>
      <c r="V10" s="3"/>
      <c r="W10" s="3"/>
      <c r="X10" s="3"/>
      <c r="Y10" s="16" t="str">
        <f aca="false">IFERROR((IFERROR(VALUE(I10),0)+IFERROR(VALUE(K10),0)+IFERROR(VALUE(M10),0)+IFERROR(VALUE(O10),0)+IFERROR(VALUE(Q10),0)+IFERROR(VALUE(S10),0)+IFERROR(VALUE(U10),0)+IFERROR(VALUE(W10),0))/(IF(ISNUMBER(I10),1,0)+IF(ISNUMBER(K10),1,0)+IF(ISNUMBER(M10),1,0)+IF(ISNUMBER(O10),1,0)+IF(ISNUMBER(Q10),1,0)+IF(ISNUMBER(S10),1,0)+IF(ISNUMBER(U10),1,0)+IF(ISNUMBER(W10),1,0)),"")</f>
        <v/>
      </c>
      <c r="Z10" s="3"/>
      <c r="AA10" s="3"/>
      <c r="AB10" s="3"/>
      <c r="AC10" s="3"/>
      <c r="AD10" s="3"/>
      <c r="AE10" s="16" t="str">
        <f aca="false">IF(AND((IF(ISNUMBER(I10)+ISTEXT(I10),1,0)+IF(ISNUMBER(K10)+ISTEXT(K10),1,0)+IF(ISNUMBER(M10)+ISTEXT(M10),1,0)+IF(ISNUMBER(O10)+ISTEXT(O10),1,0)+IF(ISNUMBER(Q10)+ISTEXT(Q10),1,0)+IF(ISNUMBER(S10)+ISTEXT(S10),1,0)+IF(ISNUMBER(U10)+ISTEXT(U10),1,0)+IF(ISNUMBER(W10)+ISTEXT(W10),1,0))&gt;=6,IF(Z10&lt;&gt;"",1,0)=1),"COMPLETE",IF((IF(ISNUMBER(I10)+ISTEXT(I10),1,0)+IF(ISNUMBER(K10)+ISTEXT(K10),1,0)+IF(ISNUMBER(M10)+ISTEXT(M10),1,0)+IF(ISNUMBER(O10)+ISTEXT(O10),1,0)+IF(ISNUMBER(Q10)+ISTEXT(Q10),1,0)+IF(ISNUMBER(S10)+ISTEXT(S10),1,0)+IF(ISNUMBER(U10)+ISTEXT(U10),1,0)+IF(ISNUMBER(W10)+ISTEXT(W10),1,0))=0,"NOT STARTED","IN PROGRESS"))</f>
        <v>NOT STARTED</v>
      </c>
    </row>
    <row r="11" customFormat="false" ht="240" hidden="false" customHeight="true" outlineLevel="0" collapsed="false">
      <c r="A11" s="4" t="s">
        <v>131</v>
      </c>
      <c r="B11" s="4"/>
      <c r="C11" s="4"/>
      <c r="D11" s="4"/>
      <c r="E11" s="4"/>
      <c r="F11" s="4"/>
      <c r="G11" s="4"/>
      <c r="H11" s="4"/>
      <c r="I11" s="3"/>
      <c r="J11" s="3"/>
      <c r="K11" s="3"/>
      <c r="L11" s="3"/>
      <c r="M11" s="3"/>
      <c r="N11" s="3"/>
      <c r="O11" s="3"/>
      <c r="P11" s="3"/>
      <c r="Q11" s="3"/>
      <c r="R11" s="3"/>
      <c r="S11" s="3"/>
      <c r="T11" s="3"/>
      <c r="U11" s="3"/>
      <c r="V11" s="3"/>
      <c r="W11" s="3"/>
      <c r="X11" s="3"/>
      <c r="Y11" s="16" t="str">
        <f aca="false">IFERROR((IFERROR(VALUE(I11),0)+IFERROR(VALUE(K11),0)+IFERROR(VALUE(M11),0)+IFERROR(VALUE(O11),0)+IFERROR(VALUE(Q11),0)+IFERROR(VALUE(S11),0)+IFERROR(VALUE(U11),0)+IFERROR(VALUE(W11),0))/(IF(ISNUMBER(I11),1,0)+IF(ISNUMBER(K11),1,0)+IF(ISNUMBER(M11),1,0)+IF(ISNUMBER(O11),1,0)+IF(ISNUMBER(Q11),1,0)+IF(ISNUMBER(S11),1,0)+IF(ISNUMBER(U11),1,0)+IF(ISNUMBER(W11),1,0)),"")</f>
        <v/>
      </c>
      <c r="Z11" s="3"/>
      <c r="AA11" s="3"/>
      <c r="AB11" s="3"/>
      <c r="AC11" s="3"/>
      <c r="AD11" s="3"/>
      <c r="AE11" s="16" t="str">
        <f aca="false">IF(AND((IF(ISNUMBER(I11)+ISTEXT(I11),1,0)+IF(ISNUMBER(K11)+ISTEXT(K11),1,0)+IF(ISNUMBER(M11)+ISTEXT(M11),1,0)+IF(ISNUMBER(O11)+ISTEXT(O11),1,0)+IF(ISNUMBER(Q11)+ISTEXT(Q11),1,0)+IF(ISNUMBER(S11)+ISTEXT(S11),1,0)+IF(ISNUMBER(U11)+ISTEXT(U11),1,0)+IF(ISNUMBER(W11)+ISTEXT(W11),1,0))&gt;=6,IF(Z11&lt;&gt;"",1,0)=1),"COMPLETE",IF((IF(ISNUMBER(I11)+ISTEXT(I11),1,0)+IF(ISNUMBER(K11)+ISTEXT(K11),1,0)+IF(ISNUMBER(M11)+ISTEXT(M11),1,0)+IF(ISNUMBER(O11)+ISTEXT(O11),1,0)+IF(ISNUMBER(Q11)+ISTEXT(Q11),1,0)+IF(ISNUMBER(S11)+ISTEXT(S11),1,0)+IF(ISNUMBER(U11)+ISTEXT(U11),1,0)+IF(ISNUMBER(W11)+ISTEXT(W11),1,0))=0,"NOT STARTED","IN PROGRESS"))</f>
        <v>NOT STARTED</v>
      </c>
    </row>
    <row r="12" customFormat="false" ht="240" hidden="false" customHeight="true" outlineLevel="0" collapsed="false">
      <c r="A12" s="4" t="s">
        <v>132</v>
      </c>
      <c r="B12" s="4"/>
      <c r="C12" s="4"/>
      <c r="D12" s="4"/>
      <c r="E12" s="4"/>
      <c r="F12" s="4"/>
      <c r="G12" s="4"/>
      <c r="H12" s="4"/>
      <c r="I12" s="3"/>
      <c r="J12" s="3"/>
      <c r="K12" s="3"/>
      <c r="L12" s="3"/>
      <c r="M12" s="3"/>
      <c r="N12" s="3"/>
      <c r="O12" s="3"/>
      <c r="P12" s="3"/>
      <c r="Q12" s="3"/>
      <c r="R12" s="3"/>
      <c r="S12" s="3"/>
      <c r="T12" s="3"/>
      <c r="U12" s="3"/>
      <c r="V12" s="3"/>
      <c r="W12" s="3"/>
      <c r="X12" s="3"/>
      <c r="Y12" s="16" t="str">
        <f aca="false">IFERROR((IFERROR(VALUE(I12),0)+IFERROR(VALUE(K12),0)+IFERROR(VALUE(M12),0)+IFERROR(VALUE(O12),0)+IFERROR(VALUE(Q12),0)+IFERROR(VALUE(S12),0)+IFERROR(VALUE(U12),0)+IFERROR(VALUE(W12),0))/(IF(ISNUMBER(I12),1,0)+IF(ISNUMBER(K12),1,0)+IF(ISNUMBER(M12),1,0)+IF(ISNUMBER(O12),1,0)+IF(ISNUMBER(Q12),1,0)+IF(ISNUMBER(S12),1,0)+IF(ISNUMBER(U12),1,0)+IF(ISNUMBER(W12),1,0)),"")</f>
        <v/>
      </c>
      <c r="Z12" s="3"/>
      <c r="AA12" s="3"/>
      <c r="AB12" s="3"/>
      <c r="AC12" s="3"/>
      <c r="AD12" s="3"/>
      <c r="AE12" s="16" t="str">
        <f aca="false">IF(AND((IF(ISNUMBER(I12)+ISTEXT(I12),1,0)+IF(ISNUMBER(K12)+ISTEXT(K12),1,0)+IF(ISNUMBER(M12)+ISTEXT(M12),1,0)+IF(ISNUMBER(O12)+ISTEXT(O12),1,0)+IF(ISNUMBER(Q12)+ISTEXT(Q12),1,0)+IF(ISNUMBER(S12)+ISTEXT(S12),1,0)+IF(ISNUMBER(U12)+ISTEXT(U12),1,0)+IF(ISNUMBER(W12)+ISTEXT(W12),1,0))&gt;=6,IF(Z12&lt;&gt;"",1,0)=1),"COMPLETE",IF((IF(ISNUMBER(I12)+ISTEXT(I12),1,0)+IF(ISNUMBER(K12)+ISTEXT(K12),1,0)+IF(ISNUMBER(M12)+ISTEXT(M12),1,0)+IF(ISNUMBER(O12)+ISTEXT(O12),1,0)+IF(ISNUMBER(Q12)+ISTEXT(Q12),1,0)+IF(ISNUMBER(S12)+ISTEXT(S12),1,0)+IF(ISNUMBER(U12)+ISTEXT(U12),1,0)+IF(ISNUMBER(W12)+ISTEXT(W12),1,0))=0,"NOT STARTED","IN PROGRESS"))</f>
        <v>NOT STARTED</v>
      </c>
    </row>
    <row r="13" customFormat="false" ht="240" hidden="false" customHeight="true" outlineLevel="0" collapsed="false">
      <c r="A13" s="4" t="s">
        <v>133</v>
      </c>
      <c r="B13" s="4"/>
      <c r="C13" s="4"/>
      <c r="D13" s="4"/>
      <c r="E13" s="4"/>
      <c r="F13" s="4"/>
      <c r="G13" s="4"/>
      <c r="H13" s="4"/>
      <c r="I13" s="3"/>
      <c r="J13" s="3"/>
      <c r="K13" s="3"/>
      <c r="L13" s="3"/>
      <c r="M13" s="3"/>
      <c r="N13" s="3"/>
      <c r="O13" s="3"/>
      <c r="P13" s="3"/>
      <c r="Q13" s="3"/>
      <c r="R13" s="3"/>
      <c r="S13" s="3"/>
      <c r="T13" s="3"/>
      <c r="U13" s="3"/>
      <c r="V13" s="3"/>
      <c r="W13" s="3"/>
      <c r="X13" s="3"/>
      <c r="Y13" s="16" t="str">
        <f aca="false">IFERROR((IFERROR(VALUE(I13),0)+IFERROR(VALUE(K13),0)+IFERROR(VALUE(M13),0)+IFERROR(VALUE(O13),0)+IFERROR(VALUE(Q13),0)+IFERROR(VALUE(S13),0)+IFERROR(VALUE(U13),0)+IFERROR(VALUE(W13),0))/(IF(ISNUMBER(I13),1,0)+IF(ISNUMBER(K13),1,0)+IF(ISNUMBER(M13),1,0)+IF(ISNUMBER(O13),1,0)+IF(ISNUMBER(Q13),1,0)+IF(ISNUMBER(S13),1,0)+IF(ISNUMBER(U13),1,0)+IF(ISNUMBER(W13),1,0)),"")</f>
        <v/>
      </c>
      <c r="Z13" s="3"/>
      <c r="AA13" s="3"/>
      <c r="AB13" s="3"/>
      <c r="AC13" s="3"/>
      <c r="AD13" s="3"/>
      <c r="AE13" s="16" t="str">
        <f aca="false">IF(AND((IF(ISNUMBER(I13)+ISTEXT(I13),1,0)+IF(ISNUMBER(K13)+ISTEXT(K13),1,0)+IF(ISNUMBER(M13)+ISTEXT(M13),1,0)+IF(ISNUMBER(O13)+ISTEXT(O13),1,0)+IF(ISNUMBER(Q13)+ISTEXT(Q13),1,0)+IF(ISNUMBER(S13)+ISTEXT(S13),1,0)+IF(ISNUMBER(U13)+ISTEXT(U13),1,0)+IF(ISNUMBER(W13)+ISTEXT(W13),1,0))&gt;=6,IF(Z13&lt;&gt;"",1,0)=1),"COMPLETE",IF((IF(ISNUMBER(I13)+ISTEXT(I13),1,0)+IF(ISNUMBER(K13)+ISTEXT(K13),1,0)+IF(ISNUMBER(M13)+ISTEXT(M13),1,0)+IF(ISNUMBER(O13)+ISTEXT(O13),1,0)+IF(ISNUMBER(Q13)+ISTEXT(Q13),1,0)+IF(ISNUMBER(S13)+ISTEXT(S13),1,0)+IF(ISNUMBER(U13)+ISTEXT(U13),1,0)+IF(ISNUMBER(W13)+ISTEXT(W13),1,0))=0,"NOT STARTED","IN PROGRESS"))</f>
        <v>NOT STARTED</v>
      </c>
    </row>
    <row r="14" customFormat="false" ht="240" hidden="false" customHeight="true" outlineLevel="0" collapsed="false">
      <c r="A14" s="4" t="s">
        <v>134</v>
      </c>
      <c r="B14" s="4"/>
      <c r="C14" s="4"/>
      <c r="D14" s="4"/>
      <c r="E14" s="4"/>
      <c r="F14" s="4"/>
      <c r="G14" s="4"/>
      <c r="H14" s="4"/>
      <c r="I14" s="3"/>
      <c r="J14" s="3"/>
      <c r="K14" s="3"/>
      <c r="L14" s="3"/>
      <c r="M14" s="3"/>
      <c r="N14" s="3"/>
      <c r="O14" s="3"/>
      <c r="P14" s="3"/>
      <c r="Q14" s="3"/>
      <c r="R14" s="3"/>
      <c r="S14" s="3"/>
      <c r="T14" s="3"/>
      <c r="U14" s="3"/>
      <c r="V14" s="3"/>
      <c r="W14" s="3"/>
      <c r="X14" s="3"/>
      <c r="Y14" s="16" t="str">
        <f aca="false">IFERROR((IFERROR(VALUE(I14),0)+IFERROR(VALUE(K14),0)+IFERROR(VALUE(M14),0)+IFERROR(VALUE(O14),0)+IFERROR(VALUE(Q14),0)+IFERROR(VALUE(S14),0)+IFERROR(VALUE(U14),0)+IFERROR(VALUE(W14),0))/(IF(ISNUMBER(I14),1,0)+IF(ISNUMBER(K14),1,0)+IF(ISNUMBER(M14),1,0)+IF(ISNUMBER(O14),1,0)+IF(ISNUMBER(Q14),1,0)+IF(ISNUMBER(S14),1,0)+IF(ISNUMBER(U14),1,0)+IF(ISNUMBER(W14),1,0)),"")</f>
        <v/>
      </c>
      <c r="Z14" s="3"/>
      <c r="AA14" s="3"/>
      <c r="AB14" s="3"/>
      <c r="AC14" s="3"/>
      <c r="AD14" s="3"/>
      <c r="AE14" s="16" t="str">
        <f aca="false">IF(AND((IF(ISNUMBER(I14)+ISTEXT(I14),1,0)+IF(ISNUMBER(K14)+ISTEXT(K14),1,0)+IF(ISNUMBER(M14)+ISTEXT(M14),1,0)+IF(ISNUMBER(O14)+ISTEXT(O14),1,0)+IF(ISNUMBER(Q14)+ISTEXT(Q14),1,0)+IF(ISNUMBER(S14)+ISTEXT(S14),1,0)+IF(ISNUMBER(U14)+ISTEXT(U14),1,0)+IF(ISNUMBER(W14)+ISTEXT(W14),1,0))&gt;=6,IF(Z14&lt;&gt;"",1,0)=1),"COMPLETE",IF((IF(ISNUMBER(I14)+ISTEXT(I14),1,0)+IF(ISNUMBER(K14)+ISTEXT(K14),1,0)+IF(ISNUMBER(M14)+ISTEXT(M14),1,0)+IF(ISNUMBER(O14)+ISTEXT(O14),1,0)+IF(ISNUMBER(Q14)+ISTEXT(Q14),1,0)+IF(ISNUMBER(S14)+ISTEXT(S14),1,0)+IF(ISNUMBER(U14)+ISTEXT(U14),1,0)+IF(ISNUMBER(W14)+ISTEXT(W14),1,0))=0,"NOT STARTED","IN PROGRESS"))</f>
        <v>NOT STARTED</v>
      </c>
    </row>
    <row r="15" customFormat="false" ht="240" hidden="false" customHeight="true" outlineLevel="0" collapsed="false">
      <c r="A15" s="4" t="s">
        <v>135</v>
      </c>
      <c r="B15" s="4"/>
      <c r="C15" s="4"/>
      <c r="D15" s="4"/>
      <c r="E15" s="4"/>
      <c r="F15" s="4"/>
      <c r="G15" s="4"/>
      <c r="H15" s="4"/>
      <c r="I15" s="3"/>
      <c r="J15" s="3"/>
      <c r="K15" s="3"/>
      <c r="L15" s="3"/>
      <c r="M15" s="3"/>
      <c r="N15" s="3"/>
      <c r="O15" s="3"/>
      <c r="P15" s="3"/>
      <c r="Q15" s="3"/>
      <c r="R15" s="3"/>
      <c r="S15" s="3"/>
      <c r="T15" s="3"/>
      <c r="U15" s="3"/>
      <c r="V15" s="3"/>
      <c r="W15" s="3"/>
      <c r="X15" s="3"/>
      <c r="Y15" s="16" t="str">
        <f aca="false">IFERROR((IFERROR(VALUE(I15),0)+IFERROR(VALUE(K15),0)+IFERROR(VALUE(M15),0)+IFERROR(VALUE(O15),0)+IFERROR(VALUE(Q15),0)+IFERROR(VALUE(S15),0)+IFERROR(VALUE(U15),0)+IFERROR(VALUE(W15),0))/(IF(ISNUMBER(I15),1,0)+IF(ISNUMBER(K15),1,0)+IF(ISNUMBER(M15),1,0)+IF(ISNUMBER(O15),1,0)+IF(ISNUMBER(Q15),1,0)+IF(ISNUMBER(S15),1,0)+IF(ISNUMBER(U15),1,0)+IF(ISNUMBER(W15),1,0)),"")</f>
        <v/>
      </c>
      <c r="Z15" s="3"/>
      <c r="AA15" s="3"/>
      <c r="AB15" s="3"/>
      <c r="AC15" s="3"/>
      <c r="AD15" s="3"/>
      <c r="AE15" s="16" t="str">
        <f aca="false">IF(AND((IF(ISNUMBER(I15)+ISTEXT(I15),1,0)+IF(ISNUMBER(K15)+ISTEXT(K15),1,0)+IF(ISNUMBER(M15)+ISTEXT(M15),1,0)+IF(ISNUMBER(O15)+ISTEXT(O15),1,0)+IF(ISNUMBER(Q15)+ISTEXT(Q15),1,0)+IF(ISNUMBER(S15)+ISTEXT(S15),1,0)+IF(ISNUMBER(U15)+ISTEXT(U15),1,0)+IF(ISNUMBER(W15)+ISTEXT(W15),1,0))&gt;=6,IF(Z15&lt;&gt;"",1,0)=1),"COMPLETE",IF((IF(ISNUMBER(I15)+ISTEXT(I15),1,0)+IF(ISNUMBER(K15)+ISTEXT(K15),1,0)+IF(ISNUMBER(M15)+ISTEXT(M15),1,0)+IF(ISNUMBER(O15)+ISTEXT(O15),1,0)+IF(ISNUMBER(Q15)+ISTEXT(Q15),1,0)+IF(ISNUMBER(S15)+ISTEXT(S15),1,0)+IF(ISNUMBER(U15)+ISTEXT(U15),1,0)+IF(ISNUMBER(W15)+ISTEXT(W15),1,0))=0,"NOT STARTED","IN PROGRESS"))</f>
        <v>NOT STARTED</v>
      </c>
    </row>
    <row r="16" customFormat="false" ht="240" hidden="false" customHeight="true" outlineLevel="0" collapsed="false">
      <c r="A16" s="4" t="s">
        <v>136</v>
      </c>
      <c r="B16" s="4"/>
      <c r="C16" s="4"/>
      <c r="D16" s="4"/>
      <c r="E16" s="4"/>
      <c r="F16" s="4"/>
      <c r="G16" s="4"/>
      <c r="H16" s="4"/>
      <c r="I16" s="3"/>
      <c r="J16" s="3"/>
      <c r="K16" s="3"/>
      <c r="L16" s="3"/>
      <c r="M16" s="3"/>
      <c r="N16" s="3"/>
      <c r="O16" s="3"/>
      <c r="P16" s="3"/>
      <c r="Q16" s="3"/>
      <c r="R16" s="3"/>
      <c r="S16" s="3"/>
      <c r="T16" s="3"/>
      <c r="U16" s="3"/>
      <c r="V16" s="3"/>
      <c r="W16" s="3"/>
      <c r="X16" s="3"/>
      <c r="Y16" s="16" t="str">
        <f aca="false">IFERROR((IFERROR(VALUE(I16),0)+IFERROR(VALUE(K16),0)+IFERROR(VALUE(M16),0)+IFERROR(VALUE(O16),0)+IFERROR(VALUE(Q16),0)+IFERROR(VALUE(S16),0)+IFERROR(VALUE(U16),0)+IFERROR(VALUE(W16),0))/(IF(ISNUMBER(I16),1,0)+IF(ISNUMBER(K16),1,0)+IF(ISNUMBER(M16),1,0)+IF(ISNUMBER(O16),1,0)+IF(ISNUMBER(Q16),1,0)+IF(ISNUMBER(S16),1,0)+IF(ISNUMBER(U16),1,0)+IF(ISNUMBER(W16),1,0)),"")</f>
        <v/>
      </c>
      <c r="Z16" s="3"/>
      <c r="AA16" s="3"/>
      <c r="AB16" s="3"/>
      <c r="AC16" s="3"/>
      <c r="AD16" s="3"/>
      <c r="AE16" s="16" t="str">
        <f aca="false">IF(AND((IF(ISNUMBER(I16)+ISTEXT(I16),1,0)+IF(ISNUMBER(K16)+ISTEXT(K16),1,0)+IF(ISNUMBER(M16)+ISTEXT(M16),1,0)+IF(ISNUMBER(O16)+ISTEXT(O16),1,0)+IF(ISNUMBER(Q16)+ISTEXT(Q16),1,0)+IF(ISNUMBER(S16)+ISTEXT(S16),1,0)+IF(ISNUMBER(U16)+ISTEXT(U16),1,0)+IF(ISNUMBER(W16)+ISTEXT(W16),1,0))&gt;=6,IF(Z16&lt;&gt;"",1,0)=1),"COMPLETE",IF((IF(ISNUMBER(I16)+ISTEXT(I16),1,0)+IF(ISNUMBER(K16)+ISTEXT(K16),1,0)+IF(ISNUMBER(M16)+ISTEXT(M16),1,0)+IF(ISNUMBER(O16)+ISTEXT(O16),1,0)+IF(ISNUMBER(Q16)+ISTEXT(Q16),1,0)+IF(ISNUMBER(S16)+ISTEXT(S16),1,0)+IF(ISNUMBER(U16)+ISTEXT(U16),1,0)+IF(ISNUMBER(W16)+ISTEXT(W16),1,0))=0,"NOT STARTED","IN PROGRESS"))</f>
        <v>NOT STARTED</v>
      </c>
    </row>
    <row r="17" customFormat="false" ht="240" hidden="false" customHeight="true" outlineLevel="0" collapsed="false">
      <c r="A17" s="4" t="s">
        <v>137</v>
      </c>
      <c r="B17" s="4"/>
      <c r="C17" s="4"/>
      <c r="D17" s="4"/>
      <c r="E17" s="4"/>
      <c r="F17" s="4"/>
      <c r="G17" s="4"/>
      <c r="H17" s="4"/>
      <c r="I17" s="3"/>
      <c r="J17" s="3"/>
      <c r="K17" s="3"/>
      <c r="L17" s="3"/>
      <c r="M17" s="3"/>
      <c r="N17" s="3"/>
      <c r="O17" s="3"/>
      <c r="P17" s="3"/>
      <c r="Q17" s="3"/>
      <c r="R17" s="3"/>
      <c r="S17" s="3"/>
      <c r="T17" s="3"/>
      <c r="U17" s="3"/>
      <c r="V17" s="3"/>
      <c r="W17" s="3"/>
      <c r="X17" s="3"/>
      <c r="Y17" s="16" t="str">
        <f aca="false">IFERROR((IFERROR(VALUE(I17),0)+IFERROR(VALUE(K17),0)+IFERROR(VALUE(M17),0)+IFERROR(VALUE(O17),0)+IFERROR(VALUE(Q17),0)+IFERROR(VALUE(S17),0)+IFERROR(VALUE(U17),0)+IFERROR(VALUE(W17),0))/(IF(ISNUMBER(I17),1,0)+IF(ISNUMBER(K17),1,0)+IF(ISNUMBER(M17),1,0)+IF(ISNUMBER(O17),1,0)+IF(ISNUMBER(Q17),1,0)+IF(ISNUMBER(S17),1,0)+IF(ISNUMBER(U17),1,0)+IF(ISNUMBER(W17),1,0)),"")</f>
        <v/>
      </c>
      <c r="Z17" s="3"/>
      <c r="AA17" s="3"/>
      <c r="AB17" s="3"/>
      <c r="AC17" s="3"/>
      <c r="AD17" s="3"/>
      <c r="AE17" s="16" t="str">
        <f aca="false">IF(AND((IF(ISNUMBER(I17)+ISTEXT(I17),1,0)+IF(ISNUMBER(K17)+ISTEXT(K17),1,0)+IF(ISNUMBER(M17)+ISTEXT(M17),1,0)+IF(ISNUMBER(O17)+ISTEXT(O17),1,0)+IF(ISNUMBER(Q17)+ISTEXT(Q17),1,0)+IF(ISNUMBER(S17)+ISTEXT(S17),1,0)+IF(ISNUMBER(U17)+ISTEXT(U17),1,0)+IF(ISNUMBER(W17)+ISTEXT(W17),1,0))&gt;=6,IF(Z17&lt;&gt;"",1,0)=1),"COMPLETE",IF((IF(ISNUMBER(I17)+ISTEXT(I17),1,0)+IF(ISNUMBER(K17)+ISTEXT(K17),1,0)+IF(ISNUMBER(M17)+ISTEXT(M17),1,0)+IF(ISNUMBER(O17)+ISTEXT(O17),1,0)+IF(ISNUMBER(Q17)+ISTEXT(Q17),1,0)+IF(ISNUMBER(S17)+ISTEXT(S17),1,0)+IF(ISNUMBER(U17)+ISTEXT(U17),1,0)+IF(ISNUMBER(W17)+ISTEXT(W17),1,0))=0,"NOT STARTED","IN PROGRESS"))</f>
        <v>NOT STARTED</v>
      </c>
    </row>
    <row r="18" customFormat="false" ht="240" hidden="false" customHeight="true" outlineLevel="0" collapsed="false">
      <c r="A18" s="4" t="s">
        <v>138</v>
      </c>
      <c r="B18" s="4"/>
      <c r="C18" s="4"/>
      <c r="D18" s="4"/>
      <c r="E18" s="4"/>
      <c r="F18" s="4"/>
      <c r="G18" s="4"/>
      <c r="H18" s="4"/>
      <c r="I18" s="3"/>
      <c r="J18" s="3"/>
      <c r="K18" s="3"/>
      <c r="L18" s="3"/>
      <c r="M18" s="3"/>
      <c r="N18" s="3"/>
      <c r="O18" s="3"/>
      <c r="P18" s="3"/>
      <c r="Q18" s="3"/>
      <c r="R18" s="3"/>
      <c r="S18" s="3"/>
      <c r="T18" s="3"/>
      <c r="U18" s="3"/>
      <c r="V18" s="3"/>
      <c r="W18" s="3"/>
      <c r="X18" s="3"/>
      <c r="Y18" s="16" t="str">
        <f aca="false">IFERROR((IFERROR(VALUE(I18),0)+IFERROR(VALUE(K18),0)+IFERROR(VALUE(M18),0)+IFERROR(VALUE(O18),0)+IFERROR(VALUE(Q18),0)+IFERROR(VALUE(S18),0)+IFERROR(VALUE(U18),0)+IFERROR(VALUE(W18),0))/(IF(ISNUMBER(I18),1,0)+IF(ISNUMBER(K18),1,0)+IF(ISNUMBER(M18),1,0)+IF(ISNUMBER(O18),1,0)+IF(ISNUMBER(Q18),1,0)+IF(ISNUMBER(S18),1,0)+IF(ISNUMBER(U18),1,0)+IF(ISNUMBER(W18),1,0)),"")</f>
        <v/>
      </c>
      <c r="Z18" s="3"/>
      <c r="AA18" s="3"/>
      <c r="AB18" s="3"/>
      <c r="AC18" s="3"/>
      <c r="AD18" s="3"/>
      <c r="AE18" s="16" t="str">
        <f aca="false">IF(AND((IF(ISNUMBER(I18)+ISTEXT(I18),1,0)+IF(ISNUMBER(K18)+ISTEXT(K18),1,0)+IF(ISNUMBER(M18)+ISTEXT(M18),1,0)+IF(ISNUMBER(O18)+ISTEXT(O18),1,0)+IF(ISNUMBER(Q18)+ISTEXT(Q18),1,0)+IF(ISNUMBER(S18)+ISTEXT(S18),1,0)+IF(ISNUMBER(U18)+ISTEXT(U18),1,0)+IF(ISNUMBER(W18)+ISTEXT(W18),1,0))&gt;=6,IF(Z18&lt;&gt;"",1,0)=1),"COMPLETE",IF((IF(ISNUMBER(I18)+ISTEXT(I18),1,0)+IF(ISNUMBER(K18)+ISTEXT(K18),1,0)+IF(ISNUMBER(M18)+ISTEXT(M18),1,0)+IF(ISNUMBER(O18)+ISTEXT(O18),1,0)+IF(ISNUMBER(Q18)+ISTEXT(Q18),1,0)+IF(ISNUMBER(S18)+ISTEXT(S18),1,0)+IF(ISNUMBER(U18)+ISTEXT(U18),1,0)+IF(ISNUMBER(W18)+ISTEXT(W18),1,0))=0,"NOT STARTED","IN PROGRESS"))</f>
        <v>NOT STARTED</v>
      </c>
    </row>
    <row r="19" customFormat="false" ht="240" hidden="false" customHeight="true" outlineLevel="0" collapsed="false">
      <c r="A19" s="4" t="s">
        <v>139</v>
      </c>
      <c r="B19" s="4"/>
      <c r="C19" s="4"/>
      <c r="D19" s="4"/>
      <c r="E19" s="4"/>
      <c r="F19" s="4"/>
      <c r="G19" s="4"/>
      <c r="H19" s="4"/>
      <c r="I19" s="3"/>
      <c r="J19" s="3"/>
      <c r="K19" s="3"/>
      <c r="L19" s="3"/>
      <c r="M19" s="3"/>
      <c r="N19" s="3"/>
      <c r="O19" s="3"/>
      <c r="P19" s="3"/>
      <c r="Q19" s="3"/>
      <c r="R19" s="3"/>
      <c r="S19" s="3"/>
      <c r="T19" s="3"/>
      <c r="U19" s="3"/>
      <c r="V19" s="3"/>
      <c r="W19" s="3"/>
      <c r="X19" s="3"/>
      <c r="Y19" s="16" t="str">
        <f aca="false">IFERROR((IFERROR(VALUE(I19),0)+IFERROR(VALUE(K19),0)+IFERROR(VALUE(M19),0)+IFERROR(VALUE(O19),0)+IFERROR(VALUE(Q19),0)+IFERROR(VALUE(S19),0)+IFERROR(VALUE(U19),0)+IFERROR(VALUE(W19),0))/(IF(ISNUMBER(I19),1,0)+IF(ISNUMBER(K19),1,0)+IF(ISNUMBER(M19),1,0)+IF(ISNUMBER(O19),1,0)+IF(ISNUMBER(Q19),1,0)+IF(ISNUMBER(S19),1,0)+IF(ISNUMBER(U19),1,0)+IF(ISNUMBER(W19),1,0)),"")</f>
        <v/>
      </c>
      <c r="Z19" s="3"/>
      <c r="AA19" s="3"/>
      <c r="AB19" s="3"/>
      <c r="AC19" s="3"/>
      <c r="AD19" s="3"/>
      <c r="AE19" s="16" t="str">
        <f aca="false">IF(AND((IF(ISNUMBER(I19)+ISTEXT(I19),1,0)+IF(ISNUMBER(K19)+ISTEXT(K19),1,0)+IF(ISNUMBER(M19)+ISTEXT(M19),1,0)+IF(ISNUMBER(O19)+ISTEXT(O19),1,0)+IF(ISNUMBER(Q19)+ISTEXT(Q19),1,0)+IF(ISNUMBER(S19)+ISTEXT(S19),1,0)+IF(ISNUMBER(U19)+ISTEXT(U19),1,0)+IF(ISNUMBER(W19)+ISTEXT(W19),1,0))&gt;=6,IF(Z19&lt;&gt;"",1,0)=1),"COMPLETE",IF((IF(ISNUMBER(I19)+ISTEXT(I19),1,0)+IF(ISNUMBER(K19)+ISTEXT(K19),1,0)+IF(ISNUMBER(M19)+ISTEXT(M19),1,0)+IF(ISNUMBER(O19)+ISTEXT(O19),1,0)+IF(ISNUMBER(Q19)+ISTEXT(Q19),1,0)+IF(ISNUMBER(S19)+ISTEXT(S19),1,0)+IF(ISNUMBER(U19)+ISTEXT(U19),1,0)+IF(ISNUMBER(W19)+ISTEXT(W19),1,0))=0,"NOT STARTED","IN PROGRESS"))</f>
        <v>NOT STARTED</v>
      </c>
    </row>
    <row r="20" customFormat="false" ht="240" hidden="false" customHeight="true" outlineLevel="0" collapsed="false">
      <c r="A20" s="4" t="s">
        <v>140</v>
      </c>
      <c r="B20" s="4"/>
      <c r="C20" s="4"/>
      <c r="D20" s="4"/>
      <c r="E20" s="4"/>
      <c r="F20" s="4"/>
      <c r="G20" s="4"/>
      <c r="H20" s="4"/>
      <c r="I20" s="3"/>
      <c r="J20" s="3"/>
      <c r="K20" s="3"/>
      <c r="L20" s="3"/>
      <c r="M20" s="3"/>
      <c r="N20" s="3"/>
      <c r="O20" s="3"/>
      <c r="P20" s="3"/>
      <c r="Q20" s="3"/>
      <c r="R20" s="3"/>
      <c r="S20" s="3"/>
      <c r="T20" s="3"/>
      <c r="U20" s="3"/>
      <c r="V20" s="3"/>
      <c r="W20" s="3"/>
      <c r="X20" s="3"/>
      <c r="Y20" s="16" t="str">
        <f aca="false">IFERROR((IFERROR(VALUE(I20),0)+IFERROR(VALUE(K20),0)+IFERROR(VALUE(M20),0)+IFERROR(VALUE(O20),0)+IFERROR(VALUE(Q20),0)+IFERROR(VALUE(S20),0)+IFERROR(VALUE(U20),0)+IFERROR(VALUE(W20),0))/(IF(ISNUMBER(I20),1,0)+IF(ISNUMBER(K20),1,0)+IF(ISNUMBER(M20),1,0)+IF(ISNUMBER(O20),1,0)+IF(ISNUMBER(Q20),1,0)+IF(ISNUMBER(S20),1,0)+IF(ISNUMBER(U20),1,0)+IF(ISNUMBER(W20),1,0)),"")</f>
        <v/>
      </c>
      <c r="Z20" s="3"/>
      <c r="AA20" s="3"/>
      <c r="AB20" s="3"/>
      <c r="AC20" s="3"/>
      <c r="AD20" s="3"/>
      <c r="AE20" s="16" t="str">
        <f aca="false">IF(AND((IF(ISNUMBER(I20)+ISTEXT(I20),1,0)+IF(ISNUMBER(K20)+ISTEXT(K20),1,0)+IF(ISNUMBER(M20)+ISTEXT(M20),1,0)+IF(ISNUMBER(O20)+ISTEXT(O20),1,0)+IF(ISNUMBER(Q20)+ISTEXT(Q20),1,0)+IF(ISNUMBER(S20)+ISTEXT(S20),1,0)+IF(ISNUMBER(U20)+ISTEXT(U20),1,0)+IF(ISNUMBER(W20)+ISTEXT(W20),1,0))&gt;=6,IF(Z20&lt;&gt;"",1,0)=1),"COMPLETE",IF((IF(ISNUMBER(I20)+ISTEXT(I20),1,0)+IF(ISNUMBER(K20)+ISTEXT(K20),1,0)+IF(ISNUMBER(M20)+ISTEXT(M20),1,0)+IF(ISNUMBER(O20)+ISTEXT(O20),1,0)+IF(ISNUMBER(Q20)+ISTEXT(Q20),1,0)+IF(ISNUMBER(S20)+ISTEXT(S20),1,0)+IF(ISNUMBER(U20)+ISTEXT(U20),1,0)+IF(ISNUMBER(W20)+ISTEXT(W20),1,0))=0,"NOT STARTED","IN PROGRESS"))</f>
        <v>NOT STARTED</v>
      </c>
    </row>
    <row r="21" customFormat="false" ht="240" hidden="false" customHeight="true" outlineLevel="0" collapsed="false">
      <c r="A21" s="4" t="s">
        <v>141</v>
      </c>
      <c r="B21" s="4"/>
      <c r="C21" s="4"/>
      <c r="D21" s="4"/>
      <c r="E21" s="4"/>
      <c r="F21" s="4"/>
      <c r="G21" s="4"/>
      <c r="H21" s="4"/>
      <c r="I21" s="3"/>
      <c r="J21" s="3"/>
      <c r="K21" s="3"/>
      <c r="L21" s="3"/>
      <c r="M21" s="3"/>
      <c r="N21" s="3"/>
      <c r="O21" s="3"/>
      <c r="P21" s="3"/>
      <c r="Q21" s="3"/>
      <c r="R21" s="3"/>
      <c r="S21" s="3"/>
      <c r="T21" s="3"/>
      <c r="U21" s="3"/>
      <c r="V21" s="3"/>
      <c r="W21" s="3"/>
      <c r="X21" s="3"/>
      <c r="Y21" s="16" t="str">
        <f aca="false">IFERROR((IFERROR(VALUE(I21),0)+IFERROR(VALUE(K21),0)+IFERROR(VALUE(M21),0)+IFERROR(VALUE(O21),0)+IFERROR(VALUE(Q21),0)+IFERROR(VALUE(S21),0)+IFERROR(VALUE(U21),0)+IFERROR(VALUE(W21),0))/(IF(ISNUMBER(I21),1,0)+IF(ISNUMBER(K21),1,0)+IF(ISNUMBER(M21),1,0)+IF(ISNUMBER(O21),1,0)+IF(ISNUMBER(Q21),1,0)+IF(ISNUMBER(S21),1,0)+IF(ISNUMBER(U21),1,0)+IF(ISNUMBER(W21),1,0)),"")</f>
        <v/>
      </c>
      <c r="Z21" s="3"/>
      <c r="AA21" s="3"/>
      <c r="AB21" s="3"/>
      <c r="AC21" s="3"/>
      <c r="AD21" s="3"/>
      <c r="AE21" s="16" t="str">
        <f aca="false">IF(AND((IF(ISNUMBER(I21)+ISTEXT(I21),1,0)+IF(ISNUMBER(K21)+ISTEXT(K21),1,0)+IF(ISNUMBER(M21)+ISTEXT(M21),1,0)+IF(ISNUMBER(O21)+ISTEXT(O21),1,0)+IF(ISNUMBER(Q21)+ISTEXT(Q21),1,0)+IF(ISNUMBER(S21)+ISTEXT(S21),1,0)+IF(ISNUMBER(U21)+ISTEXT(U21),1,0)+IF(ISNUMBER(W21)+ISTEXT(W21),1,0))&gt;=6,IF(Z21&lt;&gt;"",1,0)=1),"COMPLETE",IF((IF(ISNUMBER(I21)+ISTEXT(I21),1,0)+IF(ISNUMBER(K21)+ISTEXT(K21),1,0)+IF(ISNUMBER(M21)+ISTEXT(M21),1,0)+IF(ISNUMBER(O21)+ISTEXT(O21),1,0)+IF(ISNUMBER(Q21)+ISTEXT(Q21),1,0)+IF(ISNUMBER(S21)+ISTEXT(S21),1,0)+IF(ISNUMBER(U21)+ISTEXT(U21),1,0)+IF(ISNUMBER(W21)+ISTEXT(W21),1,0))=0,"NOT STARTED","IN PROGRESS"))</f>
        <v>NOT STARTED</v>
      </c>
    </row>
    <row r="22" customFormat="false" ht="240" hidden="false" customHeight="true" outlineLevel="0" collapsed="false">
      <c r="A22" s="4" t="s">
        <v>142</v>
      </c>
      <c r="B22" s="4"/>
      <c r="C22" s="4"/>
      <c r="D22" s="4"/>
      <c r="E22" s="4"/>
      <c r="F22" s="4"/>
      <c r="G22" s="4"/>
      <c r="H22" s="4"/>
      <c r="I22" s="3"/>
      <c r="J22" s="3"/>
      <c r="K22" s="3"/>
      <c r="L22" s="3"/>
      <c r="M22" s="3"/>
      <c r="N22" s="3"/>
      <c r="O22" s="3"/>
      <c r="P22" s="3"/>
      <c r="Q22" s="3"/>
      <c r="R22" s="3"/>
      <c r="S22" s="3"/>
      <c r="T22" s="3"/>
      <c r="U22" s="3"/>
      <c r="V22" s="3"/>
      <c r="W22" s="3"/>
      <c r="X22" s="3"/>
      <c r="Y22" s="16" t="str">
        <f aca="false">IFERROR((IFERROR(VALUE(I22),0)+IFERROR(VALUE(K22),0)+IFERROR(VALUE(M22),0)+IFERROR(VALUE(O22),0)+IFERROR(VALUE(Q22),0)+IFERROR(VALUE(S22),0)+IFERROR(VALUE(U22),0)+IFERROR(VALUE(W22),0))/(IF(ISNUMBER(I22),1,0)+IF(ISNUMBER(K22),1,0)+IF(ISNUMBER(M22),1,0)+IF(ISNUMBER(O22),1,0)+IF(ISNUMBER(Q22),1,0)+IF(ISNUMBER(S22),1,0)+IF(ISNUMBER(U22),1,0)+IF(ISNUMBER(W22),1,0)),"")</f>
        <v/>
      </c>
      <c r="Z22" s="3"/>
      <c r="AA22" s="3"/>
      <c r="AB22" s="3"/>
      <c r="AC22" s="3"/>
      <c r="AD22" s="3"/>
      <c r="AE22" s="16" t="str">
        <f aca="false">IF(AND((IF(ISNUMBER(I22)+ISTEXT(I22),1,0)+IF(ISNUMBER(K22)+ISTEXT(K22),1,0)+IF(ISNUMBER(M22)+ISTEXT(M22),1,0)+IF(ISNUMBER(O22)+ISTEXT(O22),1,0)+IF(ISNUMBER(Q22)+ISTEXT(Q22),1,0)+IF(ISNUMBER(S22)+ISTEXT(S22),1,0)+IF(ISNUMBER(U22)+ISTEXT(U22),1,0)+IF(ISNUMBER(W22)+ISTEXT(W22),1,0))&gt;=6,IF(Z22&lt;&gt;"",1,0)=1),"COMPLETE",IF((IF(ISNUMBER(I22)+ISTEXT(I22),1,0)+IF(ISNUMBER(K22)+ISTEXT(K22),1,0)+IF(ISNUMBER(M22)+ISTEXT(M22),1,0)+IF(ISNUMBER(O22)+ISTEXT(O22),1,0)+IF(ISNUMBER(Q22)+ISTEXT(Q22),1,0)+IF(ISNUMBER(S22)+ISTEXT(S22),1,0)+IF(ISNUMBER(U22)+ISTEXT(U22),1,0)+IF(ISNUMBER(W22)+ISTEXT(W22),1,0))=0,"NOT STARTED","IN PROGRESS"))</f>
        <v>NOT STARTED</v>
      </c>
    </row>
    <row r="23" customFormat="false" ht="240" hidden="false" customHeight="true" outlineLevel="0" collapsed="false">
      <c r="A23" s="4" t="s">
        <v>143</v>
      </c>
      <c r="B23" s="4"/>
      <c r="C23" s="4"/>
      <c r="D23" s="4"/>
      <c r="E23" s="4"/>
      <c r="F23" s="4"/>
      <c r="G23" s="4"/>
      <c r="H23" s="4"/>
      <c r="I23" s="3"/>
      <c r="J23" s="3"/>
      <c r="K23" s="3"/>
      <c r="L23" s="3"/>
      <c r="M23" s="3"/>
      <c r="N23" s="3"/>
      <c r="O23" s="3"/>
      <c r="P23" s="3"/>
      <c r="Q23" s="3"/>
      <c r="R23" s="3"/>
      <c r="S23" s="3"/>
      <c r="T23" s="3"/>
      <c r="U23" s="3"/>
      <c r="V23" s="3"/>
      <c r="W23" s="3"/>
      <c r="X23" s="3"/>
      <c r="Y23" s="16" t="str">
        <f aca="false">IFERROR((IFERROR(VALUE(I23),0)+IFERROR(VALUE(K23),0)+IFERROR(VALUE(M23),0)+IFERROR(VALUE(O23),0)+IFERROR(VALUE(Q23),0)+IFERROR(VALUE(S23),0)+IFERROR(VALUE(U23),0)+IFERROR(VALUE(W23),0))/(IF(ISNUMBER(I23),1,0)+IF(ISNUMBER(K23),1,0)+IF(ISNUMBER(M23),1,0)+IF(ISNUMBER(O23),1,0)+IF(ISNUMBER(Q23),1,0)+IF(ISNUMBER(S23),1,0)+IF(ISNUMBER(U23),1,0)+IF(ISNUMBER(W23),1,0)),"")</f>
        <v/>
      </c>
      <c r="Z23" s="3"/>
      <c r="AA23" s="3"/>
      <c r="AB23" s="3"/>
      <c r="AC23" s="3"/>
      <c r="AD23" s="3"/>
      <c r="AE23" s="16" t="str">
        <f aca="false">IF(AND((IF(ISNUMBER(I23)+ISTEXT(I23),1,0)+IF(ISNUMBER(K23)+ISTEXT(K23),1,0)+IF(ISNUMBER(M23)+ISTEXT(M23),1,0)+IF(ISNUMBER(O23)+ISTEXT(O23),1,0)+IF(ISNUMBER(Q23)+ISTEXT(Q23),1,0)+IF(ISNUMBER(S23)+ISTEXT(S23),1,0)+IF(ISNUMBER(U23)+ISTEXT(U23),1,0)+IF(ISNUMBER(W23)+ISTEXT(W23),1,0))&gt;=6,IF(Z23&lt;&gt;"",1,0)=1),"COMPLETE",IF((IF(ISNUMBER(I23)+ISTEXT(I23),1,0)+IF(ISNUMBER(K23)+ISTEXT(K23),1,0)+IF(ISNUMBER(M23)+ISTEXT(M23),1,0)+IF(ISNUMBER(O23)+ISTEXT(O23),1,0)+IF(ISNUMBER(Q23)+ISTEXT(Q23),1,0)+IF(ISNUMBER(S23)+ISTEXT(S23),1,0)+IF(ISNUMBER(U23)+ISTEXT(U23),1,0)+IF(ISNUMBER(W23)+ISTEXT(W23),1,0))=0,"NOT STARTED","IN PROGRESS"))</f>
        <v>NOT STARTED</v>
      </c>
    </row>
    <row r="24" customFormat="false" ht="240" hidden="false" customHeight="true" outlineLevel="0" collapsed="false">
      <c r="A24" s="4" t="s">
        <v>144</v>
      </c>
      <c r="B24" s="4"/>
      <c r="C24" s="4"/>
      <c r="D24" s="4"/>
      <c r="E24" s="4"/>
      <c r="F24" s="4"/>
      <c r="G24" s="4"/>
      <c r="H24" s="4"/>
      <c r="I24" s="3"/>
      <c r="J24" s="3"/>
      <c r="K24" s="3"/>
      <c r="L24" s="3"/>
      <c r="M24" s="3"/>
      <c r="N24" s="3"/>
      <c r="O24" s="3"/>
      <c r="P24" s="3"/>
      <c r="Q24" s="3"/>
      <c r="R24" s="3"/>
      <c r="S24" s="3"/>
      <c r="T24" s="3"/>
      <c r="U24" s="3"/>
      <c r="V24" s="3"/>
      <c r="W24" s="3"/>
      <c r="X24" s="3"/>
      <c r="Y24" s="16" t="str">
        <f aca="false">IFERROR((IFERROR(VALUE(I24),0)+IFERROR(VALUE(K24),0)+IFERROR(VALUE(M24),0)+IFERROR(VALUE(O24),0)+IFERROR(VALUE(Q24),0)+IFERROR(VALUE(S24),0)+IFERROR(VALUE(U24),0)+IFERROR(VALUE(W24),0))/(IF(ISNUMBER(I24),1,0)+IF(ISNUMBER(K24),1,0)+IF(ISNUMBER(M24),1,0)+IF(ISNUMBER(O24),1,0)+IF(ISNUMBER(Q24),1,0)+IF(ISNUMBER(S24),1,0)+IF(ISNUMBER(U24),1,0)+IF(ISNUMBER(W24),1,0)),"")</f>
        <v/>
      </c>
      <c r="Z24" s="3"/>
      <c r="AA24" s="3"/>
      <c r="AB24" s="3"/>
      <c r="AC24" s="3"/>
      <c r="AD24" s="3"/>
      <c r="AE24" s="16" t="str">
        <f aca="false">IF(AND((IF(ISNUMBER(I24)+ISTEXT(I24),1,0)+IF(ISNUMBER(K24)+ISTEXT(K24),1,0)+IF(ISNUMBER(M24)+ISTEXT(M24),1,0)+IF(ISNUMBER(O24)+ISTEXT(O24),1,0)+IF(ISNUMBER(Q24)+ISTEXT(Q24),1,0)+IF(ISNUMBER(S24)+ISTEXT(S24),1,0)+IF(ISNUMBER(U24)+ISTEXT(U24),1,0)+IF(ISNUMBER(W24)+ISTEXT(W24),1,0))&gt;=6,IF(Z24&lt;&gt;"",1,0)=1),"COMPLETE",IF((IF(ISNUMBER(I24)+ISTEXT(I24),1,0)+IF(ISNUMBER(K24)+ISTEXT(K24),1,0)+IF(ISNUMBER(M24)+ISTEXT(M24),1,0)+IF(ISNUMBER(O24)+ISTEXT(O24),1,0)+IF(ISNUMBER(Q24)+ISTEXT(Q24),1,0)+IF(ISNUMBER(S24)+ISTEXT(S24),1,0)+IF(ISNUMBER(U24)+ISTEXT(U24),1,0)+IF(ISNUMBER(W24)+ISTEXT(W24),1,0))=0,"NOT STARTED","IN PROGRESS"))</f>
        <v>NOT STARTED</v>
      </c>
    </row>
    <row r="25" customFormat="false" ht="240" hidden="false" customHeight="true" outlineLevel="0" collapsed="false">
      <c r="A25" s="4" t="s">
        <v>145</v>
      </c>
      <c r="B25" s="4"/>
      <c r="C25" s="4"/>
      <c r="D25" s="4"/>
      <c r="E25" s="4"/>
      <c r="F25" s="4"/>
      <c r="G25" s="4"/>
      <c r="H25" s="4"/>
      <c r="I25" s="3"/>
      <c r="J25" s="3"/>
      <c r="K25" s="3"/>
      <c r="L25" s="3"/>
      <c r="M25" s="3"/>
      <c r="N25" s="3"/>
      <c r="O25" s="3"/>
      <c r="P25" s="3"/>
      <c r="Q25" s="3"/>
      <c r="R25" s="3"/>
      <c r="S25" s="3"/>
      <c r="T25" s="3"/>
      <c r="U25" s="3"/>
      <c r="V25" s="3"/>
      <c r="W25" s="3"/>
      <c r="X25" s="3"/>
      <c r="Y25" s="16" t="str">
        <f aca="false">IFERROR((IFERROR(VALUE(I25),0)+IFERROR(VALUE(K25),0)+IFERROR(VALUE(M25),0)+IFERROR(VALUE(O25),0)+IFERROR(VALUE(Q25),0)+IFERROR(VALUE(S25),0)+IFERROR(VALUE(U25),0)+IFERROR(VALUE(W25),0))/(IF(ISNUMBER(I25),1,0)+IF(ISNUMBER(K25),1,0)+IF(ISNUMBER(M25),1,0)+IF(ISNUMBER(O25),1,0)+IF(ISNUMBER(Q25),1,0)+IF(ISNUMBER(S25),1,0)+IF(ISNUMBER(U25),1,0)+IF(ISNUMBER(W25),1,0)),"")</f>
        <v/>
      </c>
      <c r="Z25" s="3"/>
      <c r="AA25" s="3"/>
      <c r="AB25" s="3"/>
      <c r="AC25" s="3"/>
      <c r="AD25" s="3"/>
      <c r="AE25" s="16" t="str">
        <f aca="false">IF(AND((IF(ISNUMBER(I25)+ISTEXT(I25),1,0)+IF(ISNUMBER(K25)+ISTEXT(K25),1,0)+IF(ISNUMBER(M25)+ISTEXT(M25),1,0)+IF(ISNUMBER(O25)+ISTEXT(O25),1,0)+IF(ISNUMBER(Q25)+ISTEXT(Q25),1,0)+IF(ISNUMBER(S25)+ISTEXT(S25),1,0)+IF(ISNUMBER(U25)+ISTEXT(U25),1,0)+IF(ISNUMBER(W25)+ISTEXT(W25),1,0))&gt;=6,IF(Z25&lt;&gt;"",1,0)=1),"COMPLETE",IF((IF(ISNUMBER(I25)+ISTEXT(I25),1,0)+IF(ISNUMBER(K25)+ISTEXT(K25),1,0)+IF(ISNUMBER(M25)+ISTEXT(M25),1,0)+IF(ISNUMBER(O25)+ISTEXT(O25),1,0)+IF(ISNUMBER(Q25)+ISTEXT(Q25),1,0)+IF(ISNUMBER(S25)+ISTEXT(S25),1,0)+IF(ISNUMBER(U25)+ISTEXT(U25),1,0)+IF(ISNUMBER(W25)+ISTEXT(W25),1,0))=0,"NOT STARTED","IN PROGRESS"))</f>
        <v>NOT STARTED</v>
      </c>
    </row>
    <row r="26" customFormat="false" ht="240" hidden="false" customHeight="true" outlineLevel="0" collapsed="false">
      <c r="A26" s="4" t="s">
        <v>146</v>
      </c>
      <c r="B26" s="4"/>
      <c r="C26" s="4"/>
      <c r="D26" s="4"/>
      <c r="E26" s="4"/>
      <c r="F26" s="4"/>
      <c r="G26" s="4"/>
      <c r="H26" s="4"/>
      <c r="I26" s="3"/>
      <c r="J26" s="3"/>
      <c r="K26" s="3"/>
      <c r="L26" s="3"/>
      <c r="M26" s="3"/>
      <c r="N26" s="3"/>
      <c r="O26" s="3"/>
      <c r="P26" s="3"/>
      <c r="Q26" s="3"/>
      <c r="R26" s="3"/>
      <c r="S26" s="3"/>
      <c r="T26" s="3"/>
      <c r="U26" s="3"/>
      <c r="V26" s="3"/>
      <c r="W26" s="3"/>
      <c r="X26" s="3"/>
      <c r="Y26" s="16" t="str">
        <f aca="false">IFERROR((IFERROR(VALUE(I26),0)+IFERROR(VALUE(K26),0)+IFERROR(VALUE(M26),0)+IFERROR(VALUE(O26),0)+IFERROR(VALUE(Q26),0)+IFERROR(VALUE(S26),0)+IFERROR(VALUE(U26),0)+IFERROR(VALUE(W26),0))/(IF(ISNUMBER(I26),1,0)+IF(ISNUMBER(K26),1,0)+IF(ISNUMBER(M26),1,0)+IF(ISNUMBER(O26),1,0)+IF(ISNUMBER(Q26),1,0)+IF(ISNUMBER(S26),1,0)+IF(ISNUMBER(U26),1,0)+IF(ISNUMBER(W26),1,0)),"")</f>
        <v/>
      </c>
      <c r="Z26" s="3"/>
      <c r="AA26" s="3"/>
      <c r="AB26" s="3"/>
      <c r="AC26" s="3"/>
      <c r="AD26" s="3"/>
      <c r="AE26" s="16" t="str">
        <f aca="false">IF(AND((IF(ISNUMBER(I26)+ISTEXT(I26),1,0)+IF(ISNUMBER(K26)+ISTEXT(K26),1,0)+IF(ISNUMBER(M26)+ISTEXT(M26),1,0)+IF(ISNUMBER(O26)+ISTEXT(O26),1,0)+IF(ISNUMBER(Q26)+ISTEXT(Q26),1,0)+IF(ISNUMBER(S26)+ISTEXT(S26),1,0)+IF(ISNUMBER(U26)+ISTEXT(U26),1,0)+IF(ISNUMBER(W26)+ISTEXT(W26),1,0))&gt;=6,IF(Z26&lt;&gt;"",1,0)=1),"COMPLETE",IF((IF(ISNUMBER(I26)+ISTEXT(I26),1,0)+IF(ISNUMBER(K26)+ISTEXT(K26),1,0)+IF(ISNUMBER(M26)+ISTEXT(M26),1,0)+IF(ISNUMBER(O26)+ISTEXT(O26),1,0)+IF(ISNUMBER(Q26)+ISTEXT(Q26),1,0)+IF(ISNUMBER(S26)+ISTEXT(S26),1,0)+IF(ISNUMBER(U26)+ISTEXT(U26),1,0)+IF(ISNUMBER(W26)+ISTEXT(W26),1,0))=0,"NOT STARTED","IN PROGRESS"))</f>
        <v>NOT STARTED</v>
      </c>
    </row>
    <row r="27" customFormat="false" ht="240" hidden="false" customHeight="true" outlineLevel="0" collapsed="false">
      <c r="A27" s="4" t="s">
        <v>147</v>
      </c>
      <c r="B27" s="4"/>
      <c r="C27" s="4"/>
      <c r="D27" s="4"/>
      <c r="E27" s="4"/>
      <c r="F27" s="4"/>
      <c r="G27" s="4"/>
      <c r="H27" s="4"/>
      <c r="I27" s="3"/>
      <c r="J27" s="3"/>
      <c r="K27" s="3"/>
      <c r="L27" s="3"/>
      <c r="M27" s="3"/>
      <c r="N27" s="3"/>
      <c r="O27" s="3"/>
      <c r="P27" s="3"/>
      <c r="Q27" s="3"/>
      <c r="R27" s="3"/>
      <c r="S27" s="3"/>
      <c r="T27" s="3"/>
      <c r="U27" s="3"/>
      <c r="V27" s="3"/>
      <c r="W27" s="3"/>
      <c r="X27" s="3"/>
      <c r="Y27" s="16" t="str">
        <f aca="false">IFERROR((IFERROR(VALUE(I27),0)+IFERROR(VALUE(K27),0)+IFERROR(VALUE(M27),0)+IFERROR(VALUE(O27),0)+IFERROR(VALUE(Q27),0)+IFERROR(VALUE(S27),0)+IFERROR(VALUE(U27),0)+IFERROR(VALUE(W27),0))/(IF(ISNUMBER(I27),1,0)+IF(ISNUMBER(K27),1,0)+IF(ISNUMBER(M27),1,0)+IF(ISNUMBER(O27),1,0)+IF(ISNUMBER(Q27),1,0)+IF(ISNUMBER(S27),1,0)+IF(ISNUMBER(U27),1,0)+IF(ISNUMBER(W27),1,0)),"")</f>
        <v/>
      </c>
      <c r="Z27" s="3"/>
      <c r="AA27" s="3"/>
      <c r="AB27" s="3"/>
      <c r="AC27" s="3"/>
      <c r="AD27" s="3"/>
      <c r="AE27" s="16" t="str">
        <f aca="false">IF(AND((IF(ISNUMBER(I27)+ISTEXT(I27),1,0)+IF(ISNUMBER(K27)+ISTEXT(K27),1,0)+IF(ISNUMBER(M27)+ISTEXT(M27),1,0)+IF(ISNUMBER(O27)+ISTEXT(O27),1,0)+IF(ISNUMBER(Q27)+ISTEXT(Q27),1,0)+IF(ISNUMBER(S27)+ISTEXT(S27),1,0)+IF(ISNUMBER(U27)+ISTEXT(U27),1,0)+IF(ISNUMBER(W27)+ISTEXT(W27),1,0))&gt;=6,IF(Z27&lt;&gt;"",1,0)=1),"COMPLETE",IF((IF(ISNUMBER(I27)+ISTEXT(I27),1,0)+IF(ISNUMBER(K27)+ISTEXT(K27),1,0)+IF(ISNUMBER(M27)+ISTEXT(M27),1,0)+IF(ISNUMBER(O27)+ISTEXT(O27),1,0)+IF(ISNUMBER(Q27)+ISTEXT(Q27),1,0)+IF(ISNUMBER(S27)+ISTEXT(S27),1,0)+IF(ISNUMBER(U27)+ISTEXT(U27),1,0)+IF(ISNUMBER(W27)+ISTEXT(W27),1,0))=0,"NOT STARTED","IN PROGRESS"))</f>
        <v>NOT STARTED</v>
      </c>
    </row>
    <row r="28" customFormat="false" ht="240" hidden="false" customHeight="true" outlineLevel="0" collapsed="false">
      <c r="A28" s="4" t="s">
        <v>148</v>
      </c>
      <c r="B28" s="4"/>
      <c r="C28" s="4"/>
      <c r="D28" s="4"/>
      <c r="E28" s="4"/>
      <c r="F28" s="4"/>
      <c r="G28" s="4"/>
      <c r="H28" s="4"/>
      <c r="I28" s="3"/>
      <c r="J28" s="3"/>
      <c r="K28" s="3"/>
      <c r="L28" s="3"/>
      <c r="M28" s="3"/>
      <c r="N28" s="3"/>
      <c r="O28" s="3"/>
      <c r="P28" s="3"/>
      <c r="Q28" s="3"/>
      <c r="R28" s="3"/>
      <c r="S28" s="3"/>
      <c r="T28" s="3"/>
      <c r="U28" s="3"/>
      <c r="V28" s="3"/>
      <c r="W28" s="3"/>
      <c r="X28" s="3"/>
      <c r="Y28" s="16" t="str">
        <f aca="false">IFERROR((IFERROR(VALUE(I28),0)+IFERROR(VALUE(K28),0)+IFERROR(VALUE(M28),0)+IFERROR(VALUE(O28),0)+IFERROR(VALUE(Q28),0)+IFERROR(VALUE(S28),0)+IFERROR(VALUE(U28),0)+IFERROR(VALUE(W28),0))/(IF(ISNUMBER(I28),1,0)+IF(ISNUMBER(K28),1,0)+IF(ISNUMBER(M28),1,0)+IF(ISNUMBER(O28),1,0)+IF(ISNUMBER(Q28),1,0)+IF(ISNUMBER(S28),1,0)+IF(ISNUMBER(U28),1,0)+IF(ISNUMBER(W28),1,0)),"")</f>
        <v/>
      </c>
      <c r="Z28" s="3"/>
      <c r="AA28" s="3"/>
      <c r="AB28" s="3"/>
      <c r="AC28" s="3"/>
      <c r="AD28" s="3"/>
      <c r="AE28" s="16" t="str">
        <f aca="false">IF(AND((IF(ISNUMBER(I28)+ISTEXT(I28),1,0)+IF(ISNUMBER(K28)+ISTEXT(K28),1,0)+IF(ISNUMBER(M28)+ISTEXT(M28),1,0)+IF(ISNUMBER(O28)+ISTEXT(O28),1,0)+IF(ISNUMBER(Q28)+ISTEXT(Q28),1,0)+IF(ISNUMBER(S28)+ISTEXT(S28),1,0)+IF(ISNUMBER(U28)+ISTEXT(U28),1,0)+IF(ISNUMBER(W28)+ISTEXT(W28),1,0))&gt;=6,IF(Z28&lt;&gt;"",1,0)=1),"COMPLETE",IF((IF(ISNUMBER(I28)+ISTEXT(I28),1,0)+IF(ISNUMBER(K28)+ISTEXT(K28),1,0)+IF(ISNUMBER(M28)+ISTEXT(M28),1,0)+IF(ISNUMBER(O28)+ISTEXT(O28),1,0)+IF(ISNUMBER(Q28)+ISTEXT(Q28),1,0)+IF(ISNUMBER(S28)+ISTEXT(S28),1,0)+IF(ISNUMBER(U28)+ISTEXT(U28),1,0)+IF(ISNUMBER(W28)+ISTEXT(W28),1,0))=0,"NOT STARTED","IN PROGRESS"))</f>
        <v>NOT STARTED</v>
      </c>
    </row>
    <row r="29" customFormat="false" ht="240" hidden="false" customHeight="true" outlineLevel="0" collapsed="false">
      <c r="A29" s="4" t="s">
        <v>149</v>
      </c>
      <c r="B29" s="4"/>
      <c r="C29" s="4"/>
      <c r="D29" s="4"/>
      <c r="E29" s="4"/>
      <c r="F29" s="4"/>
      <c r="G29" s="4"/>
      <c r="H29" s="4"/>
      <c r="I29" s="3"/>
      <c r="J29" s="3"/>
      <c r="K29" s="3"/>
      <c r="L29" s="3"/>
      <c r="M29" s="3"/>
      <c r="N29" s="3"/>
      <c r="O29" s="3"/>
      <c r="P29" s="3"/>
      <c r="Q29" s="3"/>
      <c r="R29" s="3"/>
      <c r="S29" s="3"/>
      <c r="T29" s="3"/>
      <c r="U29" s="3"/>
      <c r="V29" s="3"/>
      <c r="W29" s="3"/>
      <c r="X29" s="3"/>
      <c r="Y29" s="16" t="str">
        <f aca="false">IFERROR((IFERROR(VALUE(I29),0)+IFERROR(VALUE(K29),0)+IFERROR(VALUE(M29),0)+IFERROR(VALUE(O29),0)+IFERROR(VALUE(Q29),0)+IFERROR(VALUE(S29),0)+IFERROR(VALUE(U29),0)+IFERROR(VALUE(W29),0))/(IF(ISNUMBER(I29),1,0)+IF(ISNUMBER(K29),1,0)+IF(ISNUMBER(M29),1,0)+IF(ISNUMBER(O29),1,0)+IF(ISNUMBER(Q29),1,0)+IF(ISNUMBER(S29),1,0)+IF(ISNUMBER(U29),1,0)+IF(ISNUMBER(W29),1,0)),"")</f>
        <v/>
      </c>
      <c r="Z29" s="3"/>
      <c r="AA29" s="3"/>
      <c r="AB29" s="3"/>
      <c r="AC29" s="3"/>
      <c r="AD29" s="3"/>
      <c r="AE29" s="16" t="str">
        <f aca="false">IF(AND((IF(ISNUMBER(I29)+ISTEXT(I29),1,0)+IF(ISNUMBER(K29)+ISTEXT(K29),1,0)+IF(ISNUMBER(M29)+ISTEXT(M29),1,0)+IF(ISNUMBER(O29)+ISTEXT(O29),1,0)+IF(ISNUMBER(Q29)+ISTEXT(Q29),1,0)+IF(ISNUMBER(S29)+ISTEXT(S29),1,0)+IF(ISNUMBER(U29)+ISTEXT(U29),1,0)+IF(ISNUMBER(W29)+ISTEXT(W29),1,0))&gt;=6,IF(Z29&lt;&gt;"",1,0)=1),"COMPLETE",IF((IF(ISNUMBER(I29)+ISTEXT(I29),1,0)+IF(ISNUMBER(K29)+ISTEXT(K29),1,0)+IF(ISNUMBER(M29)+ISTEXT(M29),1,0)+IF(ISNUMBER(O29)+ISTEXT(O29),1,0)+IF(ISNUMBER(Q29)+ISTEXT(Q29),1,0)+IF(ISNUMBER(S29)+ISTEXT(S29),1,0)+IF(ISNUMBER(U29)+ISTEXT(U29),1,0)+IF(ISNUMBER(W29)+ISTEXT(W29),1,0))=0,"NOT STARTED","IN PROGRESS"))</f>
        <v>NOT STARTED</v>
      </c>
    </row>
    <row r="30" customFormat="false" ht="240" hidden="false" customHeight="true" outlineLevel="0" collapsed="false">
      <c r="A30" s="4" t="s">
        <v>150</v>
      </c>
      <c r="B30" s="4"/>
      <c r="C30" s="4"/>
      <c r="D30" s="4"/>
      <c r="E30" s="4"/>
      <c r="F30" s="4"/>
      <c r="G30" s="4"/>
      <c r="H30" s="4"/>
      <c r="I30" s="3"/>
      <c r="J30" s="3"/>
      <c r="K30" s="3"/>
      <c r="L30" s="3"/>
      <c r="M30" s="3"/>
      <c r="N30" s="3"/>
      <c r="O30" s="3"/>
      <c r="P30" s="3"/>
      <c r="Q30" s="3"/>
      <c r="R30" s="3"/>
      <c r="S30" s="3"/>
      <c r="T30" s="3"/>
      <c r="U30" s="3"/>
      <c r="V30" s="3"/>
      <c r="W30" s="3"/>
      <c r="X30" s="3"/>
      <c r="Y30" s="16" t="str">
        <f aca="false">IFERROR((IFERROR(VALUE(I30),0)+IFERROR(VALUE(K30),0)+IFERROR(VALUE(M30),0)+IFERROR(VALUE(O30),0)+IFERROR(VALUE(Q30),0)+IFERROR(VALUE(S30),0)+IFERROR(VALUE(U30),0)+IFERROR(VALUE(W30),0))/(IF(ISNUMBER(I30),1,0)+IF(ISNUMBER(K30),1,0)+IF(ISNUMBER(M30),1,0)+IF(ISNUMBER(O30),1,0)+IF(ISNUMBER(Q30),1,0)+IF(ISNUMBER(S30),1,0)+IF(ISNUMBER(U30),1,0)+IF(ISNUMBER(W30),1,0)),"")</f>
        <v/>
      </c>
      <c r="Z30" s="3"/>
      <c r="AA30" s="3"/>
      <c r="AB30" s="3"/>
      <c r="AC30" s="3"/>
      <c r="AD30" s="3"/>
      <c r="AE30" s="16" t="str">
        <f aca="false">IF(AND((IF(ISNUMBER(I30)+ISTEXT(I30),1,0)+IF(ISNUMBER(K30)+ISTEXT(K30),1,0)+IF(ISNUMBER(M30)+ISTEXT(M30),1,0)+IF(ISNUMBER(O30)+ISTEXT(O30),1,0)+IF(ISNUMBER(Q30)+ISTEXT(Q30),1,0)+IF(ISNUMBER(S30)+ISTEXT(S30),1,0)+IF(ISNUMBER(U30)+ISTEXT(U30),1,0)+IF(ISNUMBER(W30)+ISTEXT(W30),1,0))&gt;=6,IF(Z30&lt;&gt;"",1,0)=1),"COMPLETE",IF((IF(ISNUMBER(I30)+ISTEXT(I30),1,0)+IF(ISNUMBER(K30)+ISTEXT(K30),1,0)+IF(ISNUMBER(M30)+ISTEXT(M30),1,0)+IF(ISNUMBER(O30)+ISTEXT(O30),1,0)+IF(ISNUMBER(Q30)+ISTEXT(Q30),1,0)+IF(ISNUMBER(S30)+ISTEXT(S30),1,0)+IF(ISNUMBER(U30)+ISTEXT(U30),1,0)+IF(ISNUMBER(W30)+ISTEXT(W30),1,0))=0,"NOT STARTED","IN PROGRESS"))</f>
        <v>NOT STARTED</v>
      </c>
    </row>
    <row r="31" customFormat="false" ht="240" hidden="false" customHeight="true" outlineLevel="0" collapsed="false">
      <c r="A31" s="4" t="s">
        <v>151</v>
      </c>
      <c r="B31" s="4"/>
      <c r="C31" s="4"/>
      <c r="D31" s="4"/>
      <c r="E31" s="4"/>
      <c r="F31" s="4"/>
      <c r="G31" s="4"/>
      <c r="H31" s="4"/>
      <c r="I31" s="3"/>
      <c r="J31" s="3"/>
      <c r="K31" s="3"/>
      <c r="L31" s="3"/>
      <c r="M31" s="3"/>
      <c r="N31" s="3"/>
      <c r="O31" s="3"/>
      <c r="P31" s="3"/>
      <c r="Q31" s="3"/>
      <c r="R31" s="3"/>
      <c r="S31" s="3"/>
      <c r="T31" s="3"/>
      <c r="U31" s="3"/>
      <c r="V31" s="3"/>
      <c r="W31" s="3"/>
      <c r="X31" s="3"/>
      <c r="Y31" s="16" t="str">
        <f aca="false">IFERROR((IFERROR(VALUE(I31),0)+IFERROR(VALUE(K31),0)+IFERROR(VALUE(M31),0)+IFERROR(VALUE(O31),0)+IFERROR(VALUE(Q31),0)+IFERROR(VALUE(S31),0)+IFERROR(VALUE(U31),0)+IFERROR(VALUE(W31),0))/(IF(ISNUMBER(I31),1,0)+IF(ISNUMBER(K31),1,0)+IF(ISNUMBER(M31),1,0)+IF(ISNUMBER(O31),1,0)+IF(ISNUMBER(Q31),1,0)+IF(ISNUMBER(S31),1,0)+IF(ISNUMBER(U31),1,0)+IF(ISNUMBER(W31),1,0)),"")</f>
        <v/>
      </c>
      <c r="Z31" s="3"/>
      <c r="AA31" s="3"/>
      <c r="AB31" s="3"/>
      <c r="AC31" s="3"/>
      <c r="AD31" s="3"/>
      <c r="AE31" s="16" t="str">
        <f aca="false">IF(AND((IF(ISNUMBER(I31)+ISTEXT(I31),1,0)+IF(ISNUMBER(K31)+ISTEXT(K31),1,0)+IF(ISNUMBER(M31)+ISTEXT(M31),1,0)+IF(ISNUMBER(O31)+ISTEXT(O31),1,0)+IF(ISNUMBER(Q31)+ISTEXT(Q31),1,0)+IF(ISNUMBER(S31)+ISTEXT(S31),1,0)+IF(ISNUMBER(U31)+ISTEXT(U31),1,0)+IF(ISNUMBER(W31)+ISTEXT(W31),1,0))&gt;=6,IF(Z31&lt;&gt;"",1,0)=1),"COMPLETE",IF((IF(ISNUMBER(I31)+ISTEXT(I31),1,0)+IF(ISNUMBER(K31)+ISTEXT(K31),1,0)+IF(ISNUMBER(M31)+ISTEXT(M31),1,0)+IF(ISNUMBER(O31)+ISTEXT(O31),1,0)+IF(ISNUMBER(Q31)+ISTEXT(Q31),1,0)+IF(ISNUMBER(S31)+ISTEXT(S31),1,0)+IF(ISNUMBER(U31)+ISTEXT(U31),1,0)+IF(ISNUMBER(W31)+ISTEXT(W31),1,0))=0,"NOT STARTED","IN PROGRESS"))</f>
        <v>NOT STARTED</v>
      </c>
    </row>
  </sheetData>
  <conditionalFormatting sqref="I2:I31">
    <cfRule type="expression" priority="2" aboveAverage="0" equalAverage="0" bottom="0" percent="0" rank="0" text="" dxfId="0">
      <formula>AND(OR(I2=1,I2=2,I2=5),J2="")</formula>
    </cfRule>
  </conditionalFormatting>
  <conditionalFormatting sqref="J2:J31">
    <cfRule type="expression" priority="3" aboveAverage="0" equalAverage="0" bottom="0" percent="0" rank="0" text="" dxfId="0">
      <formula>AND(OR(I2=1,I2=2,I2=5),J2="")</formula>
    </cfRule>
  </conditionalFormatting>
  <conditionalFormatting sqref="K2:K31">
    <cfRule type="expression" priority="4" aboveAverage="0" equalAverage="0" bottom="0" percent="0" rank="0" text="" dxfId="0">
      <formula>AND(OR(K2=1,K2=2,K2=5),L2="")</formula>
    </cfRule>
  </conditionalFormatting>
  <conditionalFormatting sqref="L2:L31">
    <cfRule type="expression" priority="5" aboveAverage="0" equalAverage="0" bottom="0" percent="0" rank="0" text="" dxfId="0">
      <formula>AND(OR(K2=1,K2=2,K2=5),L2="")</formula>
    </cfRule>
  </conditionalFormatting>
  <conditionalFormatting sqref="M2:M31">
    <cfRule type="expression" priority="6" aboveAverage="0" equalAverage="0" bottom="0" percent="0" rank="0" text="" dxfId="0">
      <formula>AND(OR(M2=1,M2=2,M2=5),N2="")</formula>
    </cfRule>
  </conditionalFormatting>
  <conditionalFormatting sqref="N2:N31">
    <cfRule type="expression" priority="7" aboveAverage="0" equalAverage="0" bottom="0" percent="0" rank="0" text="" dxfId="0">
      <formula>AND(OR(M2=1,M2=2,M2=5),N2="")</formula>
    </cfRule>
  </conditionalFormatting>
  <conditionalFormatting sqref="O2:O31">
    <cfRule type="expression" priority="8" aboveAverage="0" equalAverage="0" bottom="0" percent="0" rank="0" text="" dxfId="0">
      <formula>AND(OR(O2=1,O2=2,O2=5),P2="")</formula>
    </cfRule>
  </conditionalFormatting>
  <conditionalFormatting sqref="P2:P31">
    <cfRule type="expression" priority="9" aboveAverage="0" equalAverage="0" bottom="0" percent="0" rank="0" text="" dxfId="0">
      <formula>AND(OR(O2=1,O2=2,O2=5),P2="")</formula>
    </cfRule>
  </conditionalFormatting>
  <conditionalFormatting sqref="Q2:Q31">
    <cfRule type="expression" priority="10" aboveAverage="0" equalAverage="0" bottom="0" percent="0" rank="0" text="" dxfId="0">
      <formula>AND(OR(Q2=1,Q2=2,Q2=5),R2="")</formula>
    </cfRule>
  </conditionalFormatting>
  <conditionalFormatting sqref="R2:R31">
    <cfRule type="expression" priority="11" aboveAverage="0" equalAverage="0" bottom="0" percent="0" rank="0" text="" dxfId="0">
      <formula>AND(OR(Q2=1,Q2=2,Q2=5),R2="")</formula>
    </cfRule>
  </conditionalFormatting>
  <conditionalFormatting sqref="S2:S31">
    <cfRule type="expression" priority="12" aboveAverage="0" equalAverage="0" bottom="0" percent="0" rank="0" text="" dxfId="0">
      <formula>AND(OR(S2=1,S2=2,S2=5),T2="")</formula>
    </cfRule>
  </conditionalFormatting>
  <conditionalFormatting sqref="T2:T31">
    <cfRule type="expression" priority="13" aboveAverage="0" equalAverage="0" bottom="0" percent="0" rank="0" text="" dxfId="0">
      <formula>AND(OR(S2=1,S2=2,S2=5),T2="")</formula>
    </cfRule>
  </conditionalFormatting>
  <conditionalFormatting sqref="U2:U31">
    <cfRule type="expression" priority="14" aboveAverage="0" equalAverage="0" bottom="0" percent="0" rank="0" text="" dxfId="0">
      <formula>AND(OR(U2=1,U2=2,U2=5),V2="")</formula>
    </cfRule>
  </conditionalFormatting>
  <conditionalFormatting sqref="V2:V31">
    <cfRule type="expression" priority="15" aboveAverage="0" equalAverage="0" bottom="0" percent="0" rank="0" text="" dxfId="0">
      <formula>AND(OR(U2=1,U2=2,U2=5),V2="")</formula>
    </cfRule>
  </conditionalFormatting>
  <conditionalFormatting sqref="W2:W31">
    <cfRule type="expression" priority="16" aboveAverage="0" equalAverage="0" bottom="0" percent="0" rank="0" text="" dxfId="0">
      <formula>AND(OR(W2=1,W2=2,W2=5),X2="")</formula>
    </cfRule>
  </conditionalFormatting>
  <conditionalFormatting sqref="X2:X31">
    <cfRule type="expression" priority="17" aboveAverage="0" equalAverage="0" bottom="0" percent="0" rank="0" text="" dxfId="0">
      <formula>AND(OR(W2=1,W2=2,W2=5),X2="")</formula>
    </cfRule>
  </conditionalFormatting>
  <conditionalFormatting sqref="AE2:AE31">
    <cfRule type="cellIs" priority="18" operator="equal" aboveAverage="0" equalAverage="0" bottom="0" percent="0" rank="0" text="" dxfId="1">
      <formula>"COMPLETE"</formula>
    </cfRule>
    <cfRule type="cellIs" priority="19" operator="equal" aboveAverage="0" equalAverage="0" bottom="0" percent="0" rank="0" text="" dxfId="2">
      <formula>"NOT STARTED"</formula>
    </cfRule>
  </conditionalFormatting>
  <dataValidations count="3">
    <dataValidation allowBlank="true" error="Score must be 1, 2, 3, 4, 5, or N/A" errorStyle="stop" errorTitle="Invalid score" operator="between" showDropDown="false" showErrorMessage="false" showInputMessage="false" sqref="I2:I31 K2:K31 M2:M31 O2:O31 Q2:Q31 S2:S31 U2:U31 W2:W31" type="list">
      <formula1>"1,2,3,4,5,N/A"</formula1>
      <formula2>0</formula2>
    </dataValidation>
    <dataValidation allowBlank="true" errorStyle="stop" errorTitle="Invalid confidence" operator="between" showDropDown="false" showErrorMessage="false" showInputMessage="false" sqref="AA2:AA31" type="list">
      <formula1>"1,2,3,4,5"</formula1>
      <formula2>0</formula2>
    </dataValidation>
    <dataValidation allowBlank="true" errorStyle="stop" operator="between" showDropDown="false" showErrorMessage="false" showInputMessage="false" sqref="AC2:AC3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25"/>
  </cols>
  <sheetData>
    <row r="1" customFormat="false" ht="19.7" hidden="false" customHeight="false" outlineLevel="0" collapsed="false">
      <c r="A1" s="7" t="s">
        <v>152</v>
      </c>
      <c r="B1" s="7"/>
      <c r="C1" s="7"/>
      <c r="D1" s="7"/>
    </row>
    <row r="3" customFormat="false" ht="15" hidden="false" customHeight="false" outlineLevel="0" collapsed="false">
      <c r="A3" s="2" t="s">
        <v>153</v>
      </c>
      <c r="B3" s="17" t="n">
        <f aca="false">COUNTA(Scoring!A2:A31)</f>
        <v>30</v>
      </c>
    </row>
    <row r="4" customFormat="false" ht="15" hidden="false" customHeight="false" outlineLevel="0" collapsed="false">
      <c r="A4" s="2" t="s">
        <v>154</v>
      </c>
      <c r="B4" s="17" t="n">
        <f aca="false">COUNTIF(Scoring!AE2:AE4,"COMPLETE")</f>
        <v>0</v>
      </c>
    </row>
    <row r="5" customFormat="false" ht="15" hidden="false" customHeight="false" outlineLevel="0" collapsed="false">
      <c r="A5" s="2" t="s">
        <v>155</v>
      </c>
      <c r="B5" s="17" t="n">
        <f aca="false">COUNTIF(Scoring!AE5:AE31,"COMPLETE")</f>
        <v>0</v>
      </c>
    </row>
    <row r="6" customFormat="false" ht="15" hidden="false" customHeight="false" outlineLevel="0" collapsed="false">
      <c r="A6" s="2" t="s">
        <v>156</v>
      </c>
      <c r="B6" s="17" t="n">
        <f aca="false">COUNTIF(Scoring!AE2:AE31,"COMPLETE")</f>
        <v>0</v>
      </c>
    </row>
    <row r="7" customFormat="false" ht="15" hidden="false" customHeight="false" outlineLevel="0" collapsed="false">
      <c r="A7" s="2" t="s">
        <v>157</v>
      </c>
      <c r="B7" s="17" t="n">
        <f aca="false">COUNTIF(Scoring!AE2:AE31,"IN PROGRESS")</f>
        <v>0</v>
      </c>
    </row>
    <row r="8" customFormat="false" ht="15" hidden="false" customHeight="false" outlineLevel="0" collapsed="false">
      <c r="A8" s="2" t="s">
        <v>158</v>
      </c>
      <c r="B8" s="17" t="n">
        <f aca="false">COUNTIF(Scoring!AE2:AE31,"NOT STARTED")</f>
        <v>30</v>
      </c>
    </row>
    <row r="9" customFormat="false" ht="15" hidden="false" customHeight="false" outlineLevel="0" collapsed="false">
      <c r="A9" s="2" t="s">
        <v>159</v>
      </c>
      <c r="B9" s="18" t="n">
        <f aca="false">IFERROR(B6/B3,0)</f>
        <v>0</v>
      </c>
    </row>
    <row r="10" customFormat="false" ht="15" hidden="false" customHeight="false" outlineLevel="0" collapsed="false">
      <c r="A10" s="2" t="s">
        <v>160</v>
      </c>
      <c r="B10" s="19" t="str">
        <f aca="false">IFERROR(AVERAGEIF(Scoring!AE2:AE31,"COMPLETE",Scoring!Y2:Y31),"")</f>
        <v/>
      </c>
    </row>
    <row r="11" customFormat="false" ht="15" hidden="false" customHeight="false" outlineLevel="0" collapsed="false">
      <c r="A11" s="2" t="s">
        <v>161</v>
      </c>
      <c r="B11" s="20" t="str">
        <f aca="false">IFERROR(AVERAGEIF(Scoring!AE2:AE31,"COMPLETE",Scoring!AD2:AD31),"")</f>
        <v/>
      </c>
    </row>
    <row r="12" customFormat="false" ht="15" hidden="false" customHeight="false" outlineLevel="0" collapsed="false">
      <c r="A12" s="2" t="s">
        <v>162</v>
      </c>
      <c r="B12" s="17" t="n">
        <f aca="false">COUNTIF(Scoring!AC2:AC31,"Y")</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60"/>
    <col collapsed="false" customWidth="true" hidden="false" outlineLevel="0" max="4" min="4" style="0" width="50"/>
  </cols>
  <sheetData>
    <row r="1" customFormat="false" ht="19.7" hidden="false" customHeight="false" outlineLevel="0" collapsed="false">
      <c r="A1" s="7" t="s">
        <v>163</v>
      </c>
      <c r="B1" s="7"/>
      <c r="C1" s="7"/>
      <c r="D1" s="7"/>
    </row>
    <row r="3" customFormat="false" ht="15" hidden="false" customHeight="false" outlineLevel="0" collapsed="false">
      <c r="A3" s="8" t="s">
        <v>73</v>
      </c>
      <c r="B3" s="8" t="s">
        <v>74</v>
      </c>
      <c r="C3" s="8" t="s">
        <v>164</v>
      </c>
      <c r="D3" s="8" t="s">
        <v>165</v>
      </c>
    </row>
    <row r="4" customFormat="false" ht="15" hidden="false" customHeight="false" outlineLevel="0" collapsed="false">
      <c r="A4" s="21" t="str">
        <f aca="false">IF(Scoring!AC2="Y",Scoring!A2,"")</f>
        <v/>
      </c>
      <c r="B4" s="21" t="str">
        <f aca="false">IF(Scoring!AC2="Y",Scoring!B2,"")</f>
        <v/>
      </c>
      <c r="C4" s="21" t="str">
        <f aca="false">IF(Scoring!AC2="Y",LEFT(Scoring!E2,200),"")</f>
        <v/>
      </c>
      <c r="D4" s="21" t="str">
        <f aca="false">IF(Scoring!AC2="Y",Scoring!Z2,"")</f>
        <v/>
      </c>
    </row>
    <row r="5" customFormat="false" ht="15" hidden="false" customHeight="false" outlineLevel="0" collapsed="false">
      <c r="A5" s="21" t="str">
        <f aca="false">IF(Scoring!AC3="Y",Scoring!A3,"")</f>
        <v/>
      </c>
      <c r="B5" s="21" t="str">
        <f aca="false">IF(Scoring!AC3="Y",Scoring!B3,"")</f>
        <v/>
      </c>
      <c r="C5" s="21" t="str">
        <f aca="false">IF(Scoring!AC3="Y",LEFT(Scoring!E3,200),"")</f>
        <v/>
      </c>
      <c r="D5" s="21" t="str">
        <f aca="false">IF(Scoring!AC3="Y",Scoring!Z3,"")</f>
        <v/>
      </c>
    </row>
    <row r="6" customFormat="false" ht="15" hidden="false" customHeight="false" outlineLevel="0" collapsed="false">
      <c r="A6" s="21" t="str">
        <f aca="false">IF(Scoring!AC4="Y",Scoring!A4,"")</f>
        <v/>
      </c>
      <c r="B6" s="21" t="str">
        <f aca="false">IF(Scoring!AC4="Y",Scoring!B4,"")</f>
        <v/>
      </c>
      <c r="C6" s="21" t="str">
        <f aca="false">IF(Scoring!AC4="Y",LEFT(Scoring!E4,200),"")</f>
        <v/>
      </c>
      <c r="D6" s="21" t="str">
        <f aca="false">IF(Scoring!AC4="Y",Scoring!Z4,"")</f>
        <v/>
      </c>
    </row>
    <row r="7" customFormat="false" ht="15" hidden="false" customHeight="false" outlineLevel="0" collapsed="false">
      <c r="A7" s="21" t="str">
        <f aca="false">IF(Scoring!AC5="Y",Scoring!A5,"")</f>
        <v/>
      </c>
      <c r="B7" s="21" t="str">
        <f aca="false">IF(Scoring!AC5="Y",Scoring!B5,"")</f>
        <v/>
      </c>
      <c r="C7" s="21" t="str">
        <f aca="false">IF(Scoring!AC5="Y",LEFT(Scoring!E5,200),"")</f>
        <v/>
      </c>
      <c r="D7" s="21" t="str">
        <f aca="false">IF(Scoring!AC5="Y",Scoring!Z5,"")</f>
        <v/>
      </c>
    </row>
    <row r="8" customFormat="false" ht="15" hidden="false" customHeight="false" outlineLevel="0" collapsed="false">
      <c r="A8" s="21" t="str">
        <f aca="false">IF(Scoring!AC6="Y",Scoring!A6,"")</f>
        <v/>
      </c>
      <c r="B8" s="21" t="str">
        <f aca="false">IF(Scoring!AC6="Y",Scoring!B6,"")</f>
        <v/>
      </c>
      <c r="C8" s="21" t="str">
        <f aca="false">IF(Scoring!AC6="Y",LEFT(Scoring!E6,200),"")</f>
        <v/>
      </c>
      <c r="D8" s="21" t="str">
        <f aca="false">IF(Scoring!AC6="Y",Scoring!Z6,"")</f>
        <v/>
      </c>
    </row>
    <row r="9" customFormat="false" ht="15" hidden="false" customHeight="false" outlineLevel="0" collapsed="false">
      <c r="A9" s="21" t="str">
        <f aca="false">IF(Scoring!AC7="Y",Scoring!A7,"")</f>
        <v/>
      </c>
      <c r="B9" s="21" t="str">
        <f aca="false">IF(Scoring!AC7="Y",Scoring!B7,"")</f>
        <v/>
      </c>
      <c r="C9" s="21" t="str">
        <f aca="false">IF(Scoring!AC7="Y",LEFT(Scoring!E7,200),"")</f>
        <v/>
      </c>
      <c r="D9" s="21" t="str">
        <f aca="false">IF(Scoring!AC7="Y",Scoring!Z7,"")</f>
        <v/>
      </c>
    </row>
    <row r="10" customFormat="false" ht="15" hidden="false" customHeight="false" outlineLevel="0" collapsed="false">
      <c r="A10" s="21" t="str">
        <f aca="false">IF(Scoring!AC8="Y",Scoring!A8,"")</f>
        <v/>
      </c>
      <c r="B10" s="21" t="str">
        <f aca="false">IF(Scoring!AC8="Y",Scoring!B8,"")</f>
        <v/>
      </c>
      <c r="C10" s="21" t="str">
        <f aca="false">IF(Scoring!AC8="Y",LEFT(Scoring!E8,200),"")</f>
        <v/>
      </c>
      <c r="D10" s="21" t="str">
        <f aca="false">IF(Scoring!AC8="Y",Scoring!Z8,"")</f>
        <v/>
      </c>
    </row>
    <row r="11" customFormat="false" ht="15" hidden="false" customHeight="false" outlineLevel="0" collapsed="false">
      <c r="A11" s="21" t="str">
        <f aca="false">IF(Scoring!AC9="Y",Scoring!A9,"")</f>
        <v/>
      </c>
      <c r="B11" s="21" t="str">
        <f aca="false">IF(Scoring!AC9="Y",Scoring!B9,"")</f>
        <v/>
      </c>
      <c r="C11" s="21" t="str">
        <f aca="false">IF(Scoring!AC9="Y",LEFT(Scoring!E9,200),"")</f>
        <v/>
      </c>
      <c r="D11" s="21" t="str">
        <f aca="false">IF(Scoring!AC9="Y",Scoring!Z9,"")</f>
        <v/>
      </c>
    </row>
    <row r="12" customFormat="false" ht="15" hidden="false" customHeight="false" outlineLevel="0" collapsed="false">
      <c r="A12" s="21" t="str">
        <f aca="false">IF(Scoring!AC10="Y",Scoring!A10,"")</f>
        <v/>
      </c>
      <c r="B12" s="21" t="str">
        <f aca="false">IF(Scoring!AC10="Y",Scoring!B10,"")</f>
        <v/>
      </c>
      <c r="C12" s="21" t="str">
        <f aca="false">IF(Scoring!AC10="Y",LEFT(Scoring!E10,200),"")</f>
        <v/>
      </c>
      <c r="D12" s="21" t="str">
        <f aca="false">IF(Scoring!AC10="Y",Scoring!Z10,"")</f>
        <v/>
      </c>
    </row>
    <row r="13" customFormat="false" ht="15" hidden="false" customHeight="false" outlineLevel="0" collapsed="false">
      <c r="A13" s="21" t="str">
        <f aca="false">IF(Scoring!AC11="Y",Scoring!A11,"")</f>
        <v/>
      </c>
      <c r="B13" s="21" t="str">
        <f aca="false">IF(Scoring!AC11="Y",Scoring!B11,"")</f>
        <v/>
      </c>
      <c r="C13" s="21" t="str">
        <f aca="false">IF(Scoring!AC11="Y",LEFT(Scoring!E11,200),"")</f>
        <v/>
      </c>
      <c r="D13" s="21" t="str">
        <f aca="false">IF(Scoring!AC11="Y",Scoring!Z11,"")</f>
        <v/>
      </c>
    </row>
    <row r="14" customFormat="false" ht="15" hidden="false" customHeight="false" outlineLevel="0" collapsed="false">
      <c r="A14" s="21" t="str">
        <f aca="false">IF(Scoring!AC12="Y",Scoring!A12,"")</f>
        <v/>
      </c>
      <c r="B14" s="21" t="str">
        <f aca="false">IF(Scoring!AC12="Y",Scoring!B12,"")</f>
        <v/>
      </c>
      <c r="C14" s="21" t="str">
        <f aca="false">IF(Scoring!AC12="Y",LEFT(Scoring!E12,200),"")</f>
        <v/>
      </c>
      <c r="D14" s="21" t="str">
        <f aca="false">IF(Scoring!AC12="Y",Scoring!Z12,"")</f>
        <v/>
      </c>
    </row>
    <row r="15" customFormat="false" ht="15" hidden="false" customHeight="false" outlineLevel="0" collapsed="false">
      <c r="A15" s="21" t="str">
        <f aca="false">IF(Scoring!AC13="Y",Scoring!A13,"")</f>
        <v/>
      </c>
      <c r="B15" s="21" t="str">
        <f aca="false">IF(Scoring!AC13="Y",Scoring!B13,"")</f>
        <v/>
      </c>
      <c r="C15" s="21" t="str">
        <f aca="false">IF(Scoring!AC13="Y",LEFT(Scoring!E13,200),"")</f>
        <v/>
      </c>
      <c r="D15" s="21" t="str">
        <f aca="false">IF(Scoring!AC13="Y",Scoring!Z13,"")</f>
        <v/>
      </c>
    </row>
    <row r="16" customFormat="false" ht="15" hidden="false" customHeight="false" outlineLevel="0" collapsed="false">
      <c r="A16" s="21" t="str">
        <f aca="false">IF(Scoring!AC14="Y",Scoring!A14,"")</f>
        <v/>
      </c>
      <c r="B16" s="21" t="str">
        <f aca="false">IF(Scoring!AC14="Y",Scoring!B14,"")</f>
        <v/>
      </c>
      <c r="C16" s="21" t="str">
        <f aca="false">IF(Scoring!AC14="Y",LEFT(Scoring!E14,200),"")</f>
        <v/>
      </c>
      <c r="D16" s="21" t="str">
        <f aca="false">IF(Scoring!AC14="Y",Scoring!Z14,"")</f>
        <v/>
      </c>
    </row>
    <row r="17" customFormat="false" ht="15" hidden="false" customHeight="false" outlineLevel="0" collapsed="false">
      <c r="A17" s="21" t="str">
        <f aca="false">IF(Scoring!AC15="Y",Scoring!A15,"")</f>
        <v/>
      </c>
      <c r="B17" s="21" t="str">
        <f aca="false">IF(Scoring!AC15="Y",Scoring!B15,"")</f>
        <v/>
      </c>
      <c r="C17" s="21" t="str">
        <f aca="false">IF(Scoring!AC15="Y",LEFT(Scoring!E15,200),"")</f>
        <v/>
      </c>
      <c r="D17" s="21" t="str">
        <f aca="false">IF(Scoring!AC15="Y",Scoring!Z15,"")</f>
        <v/>
      </c>
    </row>
    <row r="18" customFormat="false" ht="15" hidden="false" customHeight="false" outlineLevel="0" collapsed="false">
      <c r="A18" s="21" t="str">
        <f aca="false">IF(Scoring!AC16="Y",Scoring!A16,"")</f>
        <v/>
      </c>
      <c r="B18" s="21" t="str">
        <f aca="false">IF(Scoring!AC16="Y",Scoring!B16,"")</f>
        <v/>
      </c>
      <c r="C18" s="21" t="str">
        <f aca="false">IF(Scoring!AC16="Y",LEFT(Scoring!E16,200),"")</f>
        <v/>
      </c>
      <c r="D18" s="21" t="str">
        <f aca="false">IF(Scoring!AC16="Y",Scoring!Z16,"")</f>
        <v/>
      </c>
    </row>
    <row r="19" customFormat="false" ht="15" hidden="false" customHeight="false" outlineLevel="0" collapsed="false">
      <c r="A19" s="21" t="str">
        <f aca="false">IF(Scoring!AC17="Y",Scoring!A17,"")</f>
        <v/>
      </c>
      <c r="B19" s="21" t="str">
        <f aca="false">IF(Scoring!AC17="Y",Scoring!B17,"")</f>
        <v/>
      </c>
      <c r="C19" s="21" t="str">
        <f aca="false">IF(Scoring!AC17="Y",LEFT(Scoring!E17,200),"")</f>
        <v/>
      </c>
      <c r="D19" s="21" t="str">
        <f aca="false">IF(Scoring!AC17="Y",Scoring!Z17,"")</f>
        <v/>
      </c>
    </row>
    <row r="20" customFormat="false" ht="15" hidden="false" customHeight="false" outlineLevel="0" collapsed="false">
      <c r="A20" s="21" t="str">
        <f aca="false">IF(Scoring!AC18="Y",Scoring!A18,"")</f>
        <v/>
      </c>
      <c r="B20" s="21" t="str">
        <f aca="false">IF(Scoring!AC18="Y",Scoring!B18,"")</f>
        <v/>
      </c>
      <c r="C20" s="21" t="str">
        <f aca="false">IF(Scoring!AC18="Y",LEFT(Scoring!E18,200),"")</f>
        <v/>
      </c>
      <c r="D20" s="21" t="str">
        <f aca="false">IF(Scoring!AC18="Y",Scoring!Z18,"")</f>
        <v/>
      </c>
    </row>
    <row r="21" customFormat="false" ht="15" hidden="false" customHeight="false" outlineLevel="0" collapsed="false">
      <c r="A21" s="21" t="str">
        <f aca="false">IF(Scoring!AC19="Y",Scoring!A19,"")</f>
        <v/>
      </c>
      <c r="B21" s="21" t="str">
        <f aca="false">IF(Scoring!AC19="Y",Scoring!B19,"")</f>
        <v/>
      </c>
      <c r="C21" s="21" t="str">
        <f aca="false">IF(Scoring!AC19="Y",LEFT(Scoring!E19,200),"")</f>
        <v/>
      </c>
      <c r="D21" s="21" t="str">
        <f aca="false">IF(Scoring!AC19="Y",Scoring!Z19,"")</f>
        <v/>
      </c>
    </row>
    <row r="22" customFormat="false" ht="15" hidden="false" customHeight="false" outlineLevel="0" collapsed="false">
      <c r="A22" s="21" t="str">
        <f aca="false">IF(Scoring!AC20="Y",Scoring!A20,"")</f>
        <v/>
      </c>
      <c r="B22" s="21" t="str">
        <f aca="false">IF(Scoring!AC20="Y",Scoring!B20,"")</f>
        <v/>
      </c>
      <c r="C22" s="21" t="str">
        <f aca="false">IF(Scoring!AC20="Y",LEFT(Scoring!E20,200),"")</f>
        <v/>
      </c>
      <c r="D22" s="21" t="str">
        <f aca="false">IF(Scoring!AC20="Y",Scoring!Z20,"")</f>
        <v/>
      </c>
    </row>
    <row r="23" customFormat="false" ht="15" hidden="false" customHeight="false" outlineLevel="0" collapsed="false">
      <c r="A23" s="21" t="str">
        <f aca="false">IF(Scoring!AC21="Y",Scoring!A21,"")</f>
        <v/>
      </c>
      <c r="B23" s="21" t="str">
        <f aca="false">IF(Scoring!AC21="Y",Scoring!B21,"")</f>
        <v/>
      </c>
      <c r="C23" s="21" t="str">
        <f aca="false">IF(Scoring!AC21="Y",LEFT(Scoring!E21,200),"")</f>
        <v/>
      </c>
      <c r="D23" s="21" t="str">
        <f aca="false">IF(Scoring!AC21="Y",Scoring!Z21,"")</f>
        <v/>
      </c>
    </row>
    <row r="24" customFormat="false" ht="15" hidden="false" customHeight="false" outlineLevel="0" collapsed="false">
      <c r="A24" s="21" t="str">
        <f aca="false">IF(Scoring!AC22="Y",Scoring!A22,"")</f>
        <v/>
      </c>
      <c r="B24" s="21" t="str">
        <f aca="false">IF(Scoring!AC22="Y",Scoring!B22,"")</f>
        <v/>
      </c>
      <c r="C24" s="21" t="str">
        <f aca="false">IF(Scoring!AC22="Y",LEFT(Scoring!E22,200),"")</f>
        <v/>
      </c>
      <c r="D24" s="21" t="str">
        <f aca="false">IF(Scoring!AC22="Y",Scoring!Z22,"")</f>
        <v/>
      </c>
    </row>
    <row r="25" customFormat="false" ht="15" hidden="false" customHeight="false" outlineLevel="0" collapsed="false">
      <c r="A25" s="21" t="str">
        <f aca="false">IF(Scoring!AC23="Y",Scoring!A23,"")</f>
        <v/>
      </c>
      <c r="B25" s="21" t="str">
        <f aca="false">IF(Scoring!AC23="Y",Scoring!B23,"")</f>
        <v/>
      </c>
      <c r="C25" s="21" t="str">
        <f aca="false">IF(Scoring!AC23="Y",LEFT(Scoring!E23,200),"")</f>
        <v/>
      </c>
      <c r="D25" s="21" t="str">
        <f aca="false">IF(Scoring!AC23="Y",Scoring!Z23,"")</f>
        <v/>
      </c>
    </row>
    <row r="26" customFormat="false" ht="15" hidden="false" customHeight="false" outlineLevel="0" collapsed="false">
      <c r="A26" s="21" t="str">
        <f aca="false">IF(Scoring!AC24="Y",Scoring!A24,"")</f>
        <v/>
      </c>
      <c r="B26" s="21" t="str">
        <f aca="false">IF(Scoring!AC24="Y",Scoring!B24,"")</f>
        <v/>
      </c>
      <c r="C26" s="21" t="str">
        <f aca="false">IF(Scoring!AC24="Y",LEFT(Scoring!E24,200),"")</f>
        <v/>
      </c>
      <c r="D26" s="21" t="str">
        <f aca="false">IF(Scoring!AC24="Y",Scoring!Z24,"")</f>
        <v/>
      </c>
    </row>
    <row r="27" customFormat="false" ht="15" hidden="false" customHeight="false" outlineLevel="0" collapsed="false">
      <c r="A27" s="21" t="str">
        <f aca="false">IF(Scoring!AC25="Y",Scoring!A25,"")</f>
        <v/>
      </c>
      <c r="B27" s="21" t="str">
        <f aca="false">IF(Scoring!AC25="Y",Scoring!B25,"")</f>
        <v/>
      </c>
      <c r="C27" s="21" t="str">
        <f aca="false">IF(Scoring!AC25="Y",LEFT(Scoring!E25,200),"")</f>
        <v/>
      </c>
      <c r="D27" s="21" t="str">
        <f aca="false">IF(Scoring!AC25="Y",Scoring!Z25,"")</f>
        <v/>
      </c>
    </row>
    <row r="28" customFormat="false" ht="15" hidden="false" customHeight="false" outlineLevel="0" collapsed="false">
      <c r="A28" s="21" t="str">
        <f aca="false">IF(Scoring!AC26="Y",Scoring!A26,"")</f>
        <v/>
      </c>
      <c r="B28" s="21" t="str">
        <f aca="false">IF(Scoring!AC26="Y",Scoring!B26,"")</f>
        <v/>
      </c>
      <c r="C28" s="21" t="str">
        <f aca="false">IF(Scoring!AC26="Y",LEFT(Scoring!E26,200),"")</f>
        <v/>
      </c>
      <c r="D28" s="21" t="str">
        <f aca="false">IF(Scoring!AC26="Y",Scoring!Z26,"")</f>
        <v/>
      </c>
    </row>
    <row r="29" customFormat="false" ht="15" hidden="false" customHeight="false" outlineLevel="0" collapsed="false">
      <c r="A29" s="21" t="str">
        <f aca="false">IF(Scoring!AC27="Y",Scoring!A27,"")</f>
        <v/>
      </c>
      <c r="B29" s="21" t="str">
        <f aca="false">IF(Scoring!AC27="Y",Scoring!B27,"")</f>
        <v/>
      </c>
      <c r="C29" s="21" t="str">
        <f aca="false">IF(Scoring!AC27="Y",LEFT(Scoring!E27,200),"")</f>
        <v/>
      </c>
      <c r="D29" s="21" t="str">
        <f aca="false">IF(Scoring!AC27="Y",Scoring!Z27,"")</f>
        <v/>
      </c>
    </row>
    <row r="30" customFormat="false" ht="15" hidden="false" customHeight="false" outlineLevel="0" collapsed="false">
      <c r="A30" s="21" t="str">
        <f aca="false">IF(Scoring!AC28="Y",Scoring!A28,"")</f>
        <v/>
      </c>
      <c r="B30" s="21" t="str">
        <f aca="false">IF(Scoring!AC28="Y",Scoring!B28,"")</f>
        <v/>
      </c>
      <c r="C30" s="21" t="str">
        <f aca="false">IF(Scoring!AC28="Y",LEFT(Scoring!E28,200),"")</f>
        <v/>
      </c>
      <c r="D30" s="21" t="str">
        <f aca="false">IF(Scoring!AC28="Y",Scoring!Z28,"")</f>
        <v/>
      </c>
    </row>
    <row r="31" customFormat="false" ht="15" hidden="false" customHeight="false" outlineLevel="0" collapsed="false">
      <c r="A31" s="21" t="str">
        <f aca="false">IF(Scoring!AC29="Y",Scoring!A29,"")</f>
        <v/>
      </c>
      <c r="B31" s="21" t="str">
        <f aca="false">IF(Scoring!AC29="Y",Scoring!B29,"")</f>
        <v/>
      </c>
      <c r="C31" s="21" t="str">
        <f aca="false">IF(Scoring!AC29="Y",LEFT(Scoring!E29,200),"")</f>
        <v/>
      </c>
      <c r="D31" s="21" t="str">
        <f aca="false">IF(Scoring!AC29="Y",Scoring!Z29,"")</f>
        <v/>
      </c>
    </row>
    <row r="32" customFormat="false" ht="15" hidden="false" customHeight="false" outlineLevel="0" collapsed="false">
      <c r="A32" s="21" t="str">
        <f aca="false">IF(Scoring!AC30="Y",Scoring!A30,"")</f>
        <v/>
      </c>
      <c r="B32" s="21" t="str">
        <f aca="false">IF(Scoring!AC30="Y",Scoring!B30,"")</f>
        <v/>
      </c>
      <c r="C32" s="21" t="str">
        <f aca="false">IF(Scoring!AC30="Y",LEFT(Scoring!E30,200),"")</f>
        <v/>
      </c>
      <c r="D32" s="21" t="str">
        <f aca="false">IF(Scoring!AC30="Y",Scoring!Z30,"")</f>
        <v/>
      </c>
    </row>
    <row r="33" customFormat="false" ht="15" hidden="false" customHeight="false" outlineLevel="0" collapsed="false">
      <c r="A33" s="21" t="str">
        <f aca="false">IF(Scoring!AC31="Y",Scoring!A31,"")</f>
        <v/>
      </c>
      <c r="B33" s="21" t="str">
        <f aca="false">IF(Scoring!AC31="Y",Scoring!B31,"")</f>
        <v/>
      </c>
      <c r="C33" s="21" t="str">
        <f aca="false">IF(Scoring!AC31="Y",LEFT(Scoring!E31,200),"")</f>
        <v/>
      </c>
      <c r="D33" s="21" t="str">
        <f aca="false">IF(Scoring!AC31="Y",Scoring!Z31,"")</f>
        <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2026-05-14T13:01:38Z</dcterms:created>
  <dc:creator>openpyxl</dc:creator>
  <dc:description/>
  <dc:language>en-US</dc:language>
  <cp:lastModifiedBy/>
  <dcterms:modified xsi:type="dcterms:W3CDTF">2026-05-14T13:01:38Z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