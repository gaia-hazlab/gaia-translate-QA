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QAs" sheetId="2" state="visible" r:id="rId2"/>
    <sheet xmlns:r="http://schemas.openxmlformats.org/officeDocument/2006/relationships" name="Rubric" sheetId="3" state="visible" r:id="rId3"/>
    <sheet xmlns:r="http://schemas.openxmlformats.org/officeDocument/2006/relationships" name="Progres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4E79"/>
      <sz val="18"/>
    </font>
    <font>
      <name val="Arial"/>
      <b val="1"/>
      <sz val="11"/>
    </font>
    <font>
      <name val="Arial"/>
      <color rgb="000000FF"/>
      <sz val="10"/>
    </font>
    <font>
      <name val="Arial"/>
      <color rgb="00000000"/>
      <sz val="10"/>
    </font>
    <font>
      <name val="Arial"/>
      <sz val="11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1F4E79"/>
      <sz val="16"/>
    </font>
  </fonts>
  <fills count="5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/>
    </xf>
    <xf numFmtId="0" fontId="8" fillId="0" borderId="0" pivotButton="0" quotePrefix="0" xfId="0"/>
    <xf numFmtId="0" fontId="7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5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2" customWidth="1" min="1" max="1"/>
    <col width="40" customWidth="1" min="2" max="2"/>
  </cols>
  <sheetData>
    <row r="1">
      <c r="A1" s="1" t="inlineStr">
        <is>
          <t>Gaia translator — v3 eval review</t>
        </is>
      </c>
    </row>
    <row r="3">
      <c r="A3" s="2" t="inlineStr">
        <is>
          <t>Reviewer name</t>
        </is>
      </c>
      <c r="B3" s="3" t="inlineStr">
        <is>
          <t>(your name)</t>
        </is>
      </c>
    </row>
    <row r="4">
      <c r="A4" s="2" t="inlineStr">
        <is>
          <t>Primary discipline</t>
        </is>
      </c>
      <c r="B4" s="3" t="inlineStr">
        <is>
          <t>(your primary)</t>
        </is>
      </c>
    </row>
    <row r="5">
      <c r="A5" t="inlineStr">
        <is>
          <t>Total QAs assigned</t>
        </is>
      </c>
      <c r="B5" s="4" t="n">
        <v>21</v>
      </c>
    </row>
    <row r="6">
      <c r="A6" t="inlineStr">
        <is>
          <t>Calibration round deadline</t>
        </is>
      </c>
      <c r="B6" s="3" t="inlineStr">
        <is>
          <t>(yyyy-mm-dd)</t>
        </is>
      </c>
    </row>
    <row r="7">
      <c r="A7" t="inlineStr">
        <is>
          <t>Production scoring deadline</t>
        </is>
      </c>
      <c r="B7" s="3" t="inlineStr">
        <is>
          <t>(yyyy-mm-dd)</t>
        </is>
      </c>
    </row>
    <row r="9">
      <c r="A9" s="5" t="inlineStr"/>
    </row>
    <row r="10">
      <c r="A10" s="6" t="inlineStr">
        <is>
          <t>How this sheet works</t>
        </is>
      </c>
    </row>
    <row r="11">
      <c r="A11" s="5" t="inlineStr"/>
    </row>
    <row r="12">
      <c r="A12" s="5" t="inlineStr">
        <is>
          <t>Each row in the 'QAs' tab is one QA. Columns A-N describe the QA. Columns starting with 'S1...S8' are score inputs (1-5, leave blank if you can't judge).</t>
        </is>
      </c>
    </row>
    <row r="13">
      <c r="A13" s="5" t="inlineStr">
        <is>
          <t>Blue text = your input. Type scores and comments here.</t>
        </is>
      </c>
    </row>
    <row r="14">
      <c r="A14" s="5" t="inlineStr">
        <is>
          <t>Black text = formula (don't edit).</t>
        </is>
      </c>
    </row>
    <row r="15">
      <c r="A15" s="5" t="inlineStr">
        <is>
          <t>Yellow cells = mandatory comment if score is ≤2 or ≥5.</t>
        </is>
      </c>
    </row>
    <row r="16">
      <c r="A16" s="5" t="inlineStr"/>
    </row>
    <row r="17">
      <c r="A17" s="5" t="inlineStr">
        <is>
          <t>Eval set stats:</t>
        </is>
      </c>
    </row>
    <row r="18">
      <c r="A18" s="5" t="inlineStr">
        <is>
          <t xml:space="preserve">  Total QAs: 21</t>
        </is>
      </c>
    </row>
    <row r="19">
      <c r="A19" s="5" t="inlineStr">
        <is>
          <t xml:space="preserve">  By query type: {'integration': 5, 'vocabulary-disambiguation': 3, 'joint-observation': 2, 'paper-interpretation': 9, 'refusal-test': 2}</t>
        </is>
      </c>
    </row>
    <row r="20">
      <c r="A20" s="5" t="inlineStr">
        <is>
          <t xml:space="preserve">  By difficulty: {'3': 9, '2': 2, '4': 8, '5': 2}</t>
        </is>
      </c>
    </row>
    <row r="21">
      <c r="A21" s="5" t="inlineStr">
        <is>
          <t xml:space="preserve">  By discipline: {'seismology': 10, 'geotechnical_engineering': 6, 'hydrology': 8, 'geomorphology': 3, 'atmospheric_sciences': 2, 'ecology': 3, 'agricultural_sciences': 2, 'near_surface_geophysics': 3}</t>
        </is>
      </c>
    </row>
    <row r="22">
      <c r="A22" s="5" t="inlineStr">
        <is>
          <t xml:space="preserve">  By disc-span:  {'2': 8, '1': 9, '3': 4}</t>
        </is>
      </c>
    </row>
    <row r="23">
      <c r="A23" s="5" t="inlineStr"/>
    </row>
    <row r="24">
      <c r="A24" s="5" t="inlineStr">
        <is>
          <t>See eval_platform/templates/reviewer_instructions.docx for the full rubric and review process.</t>
        </is>
      </c>
    </row>
  </sheetData>
  <mergeCells count="16">
    <mergeCell ref="A9:H9"/>
    <mergeCell ref="A12:H12"/>
    <mergeCell ref="A18:H18"/>
    <mergeCell ref="A21:H21"/>
    <mergeCell ref="A15:H15"/>
    <mergeCell ref="A20:H20"/>
    <mergeCell ref="A24:H24"/>
    <mergeCell ref="A16:H16"/>
    <mergeCell ref="A10:H10"/>
    <mergeCell ref="A13:H13"/>
    <mergeCell ref="A11:H11"/>
    <mergeCell ref="A14:H14"/>
    <mergeCell ref="A19:H19"/>
    <mergeCell ref="A23:H23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2"/>
  <sheetViews>
    <sheetView workbookViewId="0">
      <pane xSplit="8" ySplit="1" topLeftCell="I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22" customWidth="1" min="4" max="4"/>
    <col width="18" customWidth="1" min="5" max="5"/>
    <col width="28" customWidth="1" min="6" max="6"/>
    <col width="28" customWidth="1" min="7" max="7"/>
    <col width="10" customWidth="1" min="8" max="8"/>
    <col width="50" customWidth="1" min="9" max="9"/>
    <col width="10" customWidth="1" min="10" max="10"/>
    <col width="28" customWidth="1" min="11" max="11"/>
    <col width="24" customWidth="1" min="12" max="12"/>
    <col width="28" customWidth="1" min="13" max="13"/>
    <col width="28" customWidth="1" min="14" max="14"/>
    <col width="28" customWidth="1" min="15" max="15"/>
    <col width="28" customWidth="1" min="16" max="16"/>
    <col width="22" customWidth="1" min="17" max="17"/>
    <col width="24" customWidth="1" min="18" max="18"/>
    <col width="28" customWidth="1" min="19" max="19"/>
    <col width="60" customWidth="1" min="20" max="20"/>
    <col width="40" customWidth="1" min="21" max="21"/>
    <col width="10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  <col width="10" customWidth="1" min="28" max="28"/>
    <col width="11" customWidth="1" min="29" max="29"/>
    <col width="12" customWidth="1" min="30" max="30"/>
    <col width="50" customWidth="1" min="31" max="31"/>
    <col width="11" customWidth="1" min="32" max="32"/>
    <col width="28" customWidth="1" min="33" max="33"/>
    <col width="12" customWidth="1" min="34" max="34"/>
    <col width="11" customWidth="1" min="35" max="35"/>
    <col width="14" customWidth="1" min="36" max="36"/>
  </cols>
  <sheetData>
    <row r="1" ht="46" customHeight="1">
      <c r="A1" s="7" t="inlineStr">
        <is>
          <t>QA_ID</t>
        </is>
      </c>
      <c r="B1" s="7" t="inlineStr">
        <is>
          <t>Status</t>
        </is>
      </c>
      <c r="C1" s="7" t="inlineStr">
        <is>
          <t>Tier</t>
        </is>
      </c>
      <c r="D1" s="7" t="inlineStr">
        <is>
          <t>Disciplines</t>
        </is>
      </c>
      <c r="E1" s="7" t="inlineStr">
        <is>
          <t>Query type</t>
        </is>
      </c>
      <c r="F1" s="7" t="inlineStr">
        <is>
          <t>Translation task types</t>
        </is>
      </c>
      <c r="G1" s="7" t="inlineStr">
        <is>
          <t>Compound coupling</t>
        </is>
      </c>
      <c r="H1" s="7" t="inlineStr">
        <is>
          <t>Difficulty</t>
        </is>
      </c>
      <c r="I1" s="7" t="inlineStr">
        <is>
          <t>Prompt</t>
        </is>
      </c>
      <c r="J1" s="7" t="inlineStr">
        <is>
          <t>Doc type</t>
        </is>
      </c>
      <c r="K1" s="7" t="inlineStr">
        <is>
          <t>Doc source</t>
        </is>
      </c>
      <c r="L1" s="7" t="inlineStr">
        <is>
          <t>Doc title</t>
        </is>
      </c>
      <c r="M1" s="7" t="inlineStr">
        <is>
          <t>Expected concept_matches</t>
        </is>
      </c>
      <c r="N1" s="7" t="inlineStr">
        <is>
          <t>Expected method_matches</t>
        </is>
      </c>
      <c r="O1" s="7" t="inlineStr">
        <is>
          <t>Expected phenomenon_matches</t>
        </is>
      </c>
      <c r="P1" s="7" t="inlineStr">
        <is>
          <t>Expected translation_matches</t>
        </is>
      </c>
      <c r="Q1" s="7" t="inlineStr">
        <is>
          <t>Expected vocab collisions</t>
        </is>
      </c>
      <c r="R1" s="7" t="inlineStr">
        <is>
          <t>Expected refusals</t>
        </is>
      </c>
      <c r="S1" s="7" t="inlineStr">
        <is>
          <t>Failure modes tested</t>
        </is>
      </c>
      <c r="T1" s="7" t="inlineStr">
        <is>
          <t>Expected response themes</t>
        </is>
      </c>
      <c r="U1" s="7" t="inlineStr">
        <is>
          <t>Must not say</t>
        </is>
      </c>
      <c r="V1" s="7" t="inlineStr">
        <is>
          <t>S1 Tech accuracy</t>
        </is>
      </c>
      <c r="W1" s="7" t="inlineStr">
        <is>
          <t>S2 Citation discipline</t>
        </is>
      </c>
      <c r="X1" s="7" t="inlineStr">
        <is>
          <t>S3 Vocab precision</t>
        </is>
      </c>
      <c r="Y1" s="7" t="inlineStr">
        <is>
          <t>S4 Cross-disc integration</t>
        </is>
      </c>
      <c r="Z1" s="7" t="inlineStr">
        <is>
          <t>S5 Refusal correctness</t>
        </is>
      </c>
      <c r="AA1" s="7" t="inlineStr">
        <is>
          <t>S6 Completeness</t>
        </is>
      </c>
      <c r="AB1" s="7" t="inlineStr">
        <is>
          <t>S7 Presentation</t>
        </is>
      </c>
      <c r="AC1" s="7" t="inlineStr">
        <is>
          <t>S8 Overall usefulness</t>
        </is>
      </c>
      <c r="AD1" s="7" t="inlineStr">
        <is>
          <t>Mean score (auto)</t>
        </is>
      </c>
      <c r="AE1" s="7" t="inlineStr">
        <is>
          <t>Overall comment (REQUIRED)</t>
        </is>
      </c>
      <c r="AF1" s="7" t="inlineStr">
        <is>
          <t>Confidence (1-5)</t>
        </is>
      </c>
      <c r="AG1" s="7" t="inlineStr">
        <is>
          <t>Skill files to revise</t>
        </is>
      </c>
      <c r="AH1" s="7" t="inlineStr">
        <is>
          <t>Flag for discussion (Y/N)</t>
        </is>
      </c>
      <c r="AI1" s="7" t="inlineStr">
        <is>
          <t>Time to score (min)</t>
        </is>
      </c>
      <c r="AJ1" s="7" t="inlineStr">
        <is>
          <t>Status (auto)</t>
        </is>
      </c>
    </row>
    <row r="2" ht="220" customHeight="1">
      <c r="A2" s="8" t="inlineStr">
        <is>
          <t>QA-CAL-001</t>
        </is>
      </c>
      <c r="B2" s="4" t="inlineStr">
        <is>
          <t>approved</t>
        </is>
      </c>
      <c r="C2" s="8" t="inlineStr">
        <is>
          <t>silver</t>
        </is>
      </c>
      <c r="D2" s="4" t="inlineStr">
        <is>
          <t>seismology, geotechnical_engineering</t>
        </is>
      </c>
      <c r="E2" s="4" t="inlineStr">
        <is>
          <t>integration</t>
        </is>
      </c>
      <c r="F2" s="4" t="inlineStr">
        <is>
          <t>method-translation
parameter-threshold-equivalence
limitation-translation</t>
        </is>
      </c>
      <c r="G2" s="4" t="inlineStr">
        <is>
          <t>geotechnical_engineering-seismology</t>
        </is>
      </c>
      <c r="H2" s="4" t="n">
        <v>3</v>
      </c>
      <c r="I2" s="4" t="inlineStr">
        <is>
          <t>I just read Boulanger &amp; Idriss (2014) on CPT and SPT liquefaction-triggering procedures. I'm a seismologist working on the Nisqually basin and I want to understand how this connects to my work on Vs30 and ambient-noise dv/v. What should I take away?</t>
        </is>
      </c>
      <c r="J2" s="4" t="inlineStr">
        <is>
          <t>none</t>
        </is>
      </c>
      <c r="K2" s="4" t="inlineStr"/>
      <c r="L2" s="4" t="inlineStr"/>
      <c r="M2" s="4" t="inlineStr">
        <is>
          <t>CC-geotech-CSR-CRR
CC-seismo-Vs
CC-geotech-G-Gmax</t>
        </is>
      </c>
      <c r="N2" s="4" t="inlineStr">
        <is>
          <t>MC-geotech-CPT
MC-seismo-MASW
MC-geotech-GMPE</t>
        </is>
      </c>
      <c r="O2" s="4" t="inlineStr">
        <is>
          <t>PD-liquefaction
PD-site-response</t>
        </is>
      </c>
      <c r="P2" s="4" t="inlineStr">
        <is>
          <t>TC-10
TC-12
TC-02</t>
        </is>
      </c>
      <c r="Q2" s="4" t="inlineStr"/>
      <c r="R2" s="4" t="inlineStr"/>
      <c r="S2" s="4" t="inlineStr">
        <is>
          <t>false-equivalence
missing-constraint
implausible-calibration</t>
        </is>
      </c>
      <c r="T2" s="4" t="inlineStr">
        <is>
          <t>• Explains that a_max from NGA-West2 (the user's GMPE work) feeds CSR directly.
• Explains the Vs1 → CRR Andrus-Stokoe link in the upper 30 m, citing the depth-regime issue (TC-12).
• Distinguishes coseismic dv/v (G/Gmax transient via TC-10) from pre-event triggering.
• Proposes joint MASW + ambient-noise tomography + CPT-Vs as the cross-discipline next step.
• Cites Boulanger &amp; Idriss correctly without fabricating other references.</t>
        </is>
      </c>
      <c r="U2" s="4" t="inlineStr">
        <is>
          <t>✗ ambient-noise dv/v can replace CPT for liquefaction triggering
✗ linear-elastic site response captures G/Gmax reduction at strong ground motion</t>
        </is>
      </c>
      <c r="V2" s="3" t="n"/>
      <c r="W2" s="3" t="n"/>
      <c r="X2" s="3" t="n"/>
      <c r="Y2" s="3" t="n"/>
      <c r="Z2" s="3" t="n"/>
      <c r="AA2" s="3" t="n"/>
      <c r="AB2" s="3" t="n"/>
      <c r="AC2" s="3" t="n"/>
      <c r="AD2" s="9">
        <f>IFERROR((IFERROR(VALUE(V2),0)+IFERROR(VALUE(W2),0)+IFERROR(VALUE(X2),0)+IFERROR(VALUE(Y2),0)+IFERROR(VALUE(Z2),0)+IFERROR(VALUE(AA2),0)+IFERROR(VALUE(AB2),0)+IFERROR(VALUE(AC2),0))/(IF(ISNUMBER(V2),1,0)+IF(ISNUMBER(W2),1,0)+IF(ISNUMBER(X2),1,0)+IF(ISNUMBER(Y2),1,0)+IF(ISNUMBER(Z2),1,0)+IF(ISNUMBER(AA2),1,0)+IF(ISNUMBER(AB2),1,0)+IF(ISNUMBER(AC2),1,0)),"")</f>
        <v/>
      </c>
      <c r="AE2" s="3" t="n"/>
      <c r="AF2" s="3" t="n"/>
      <c r="AG2" s="3" t="n"/>
      <c r="AH2" s="3" t="n"/>
      <c r="AI2" s="3" t="n"/>
      <c r="AJ2" s="9">
        <f>IF(AND((IF(ISNUMBER(V2)+ISTEXT(V2),1,0)+IF(ISNUMBER(W2)+ISTEXT(W2),1,0)+IF(ISNUMBER(X2)+ISTEXT(X2),1,0)+IF(ISNUMBER(Y2)+ISTEXT(Y2),1,0)+IF(ISNUMBER(Z2)+ISTEXT(Z2),1,0)+IF(ISNUMBER(AA2)+ISTEXT(AA2),1,0)+IF(ISNUMBER(AB2)+ISTEXT(AB2),1,0)+IF(ISNUMBER(AC2)+ISTEXT(AC2),1,0))&gt;=4,IF(AE2&lt;&gt;"",1,0)=1),"COMPLETE",IF((IF(ISNUMBER(V2)+ISTEXT(V2),1,0)+IF(ISNUMBER(W2)+ISTEXT(W2),1,0)+IF(ISNUMBER(X2)+ISTEXT(X2),1,0)+IF(ISNUMBER(Y2)+ISTEXT(Y2),1,0)+IF(ISNUMBER(Z2)+ISTEXT(Z2),1,0)+IF(ISNUMBER(AA2)+ISTEXT(AA2),1,0)+IF(ISNUMBER(AB2)+ISTEXT(AB2),1,0)+IF(ISNUMBER(AC2)+ISTEXT(AC2),1,0))=0,"NOT STARTED","IN PROGRESS"))</f>
        <v/>
      </c>
    </row>
    <row r="3" ht="220" customHeight="1">
      <c r="A3" s="8" t="inlineStr">
        <is>
          <t>QA-CAL-002</t>
        </is>
      </c>
      <c r="B3" s="4" t="inlineStr">
        <is>
          <t>approved</t>
        </is>
      </c>
      <c r="C3" s="8" t="inlineStr">
        <is>
          <t>silver</t>
        </is>
      </c>
      <c r="D3" s="4" t="inlineStr">
        <is>
          <t>seismology, hydrology</t>
        </is>
      </c>
      <c r="E3" s="4" t="inlineStr">
        <is>
          <t>vocabulary-disambiguation</t>
        </is>
      </c>
      <c r="F3" s="4" t="inlineStr">
        <is>
          <t>terminology-bridging</t>
        </is>
      </c>
      <c r="G3" s="4" t="inlineStr">
        <is>
          <t>hydrology-seismology</t>
        </is>
      </c>
      <c r="H3" s="4" t="n">
        <v>2</v>
      </c>
      <c r="I3" s="4" t="inlineStr">
        <is>
          <t>Can seismic attenuation Q tell me about streamflow Q in a watershed? They have the same symbol, so there should be some kind of relation I can exploit. What papers explore this?</t>
        </is>
      </c>
      <c r="J3" s="4" t="inlineStr">
        <is>
          <t>none</t>
        </is>
      </c>
      <c r="K3" s="4" t="inlineStr"/>
      <c r="L3" s="4" t="inlineStr"/>
      <c r="M3" s="4" t="inlineStr">
        <is>
          <t>CC-seismo-Q
CC-hydro-Q</t>
        </is>
      </c>
      <c r="N3" s="4" t="inlineStr"/>
      <c r="O3" s="4" t="inlineStr"/>
      <c r="P3" s="4" t="inlineStr">
        <is>
          <t>TC-03</t>
        </is>
      </c>
      <c r="Q3" s="4" t="inlineStr">
        <is>
          <t>Q</t>
        </is>
      </c>
      <c r="R3" s="4" t="inlineStr">
        <is>
          <t>vocabulary-collision, fabrication-prevention</t>
        </is>
      </c>
      <c r="S3" s="4" t="inlineStr">
        <is>
          <t>hallucinated-analogue
false-equivalence
terminology-failure</t>
        </is>
      </c>
      <c r="T3" s="4" t="inlineStr">
        <is>
          <t>• Refuses to assert a physical relation between seismic Q and streamflow Q.
• Defines each Q distinctly with units (dimensionless vs. m³/s).
• Refuses to fabricate citations to support a non-existent relation.
• Offers a constructive alternative: TC-03 (dv/v as a real hydrology bridge through poroelasticity).</t>
        </is>
      </c>
      <c r="U3" s="4" t="inlineStr">
        <is>
          <t>✗ the Q-Q theorem
✗ Smith et al. 2019 Journal of Hydrological Geophysics
✗ wetter sediments have higher attenuation, so streamflow Q correlates with seismic Q</t>
        </is>
      </c>
      <c r="V3" s="3" t="n"/>
      <c r="W3" s="3" t="n"/>
      <c r="X3" s="3" t="n"/>
      <c r="Y3" s="3" t="n"/>
      <c r="Z3" s="3" t="n"/>
      <c r="AA3" s="3" t="n"/>
      <c r="AB3" s="3" t="n"/>
      <c r="AC3" s="3" t="n"/>
      <c r="AD3" s="9">
        <f>IFERROR((IFERROR(VALUE(V3),0)+IFERROR(VALUE(W3),0)+IFERROR(VALUE(X3),0)+IFERROR(VALUE(Y3),0)+IFERROR(VALUE(Z3),0)+IFERROR(VALUE(AA3),0)+IFERROR(VALUE(AB3),0)+IFERROR(VALUE(AC3),0))/(IF(ISNUMBER(V3),1,0)+IF(ISNUMBER(W3),1,0)+IF(ISNUMBER(X3),1,0)+IF(ISNUMBER(Y3),1,0)+IF(ISNUMBER(Z3),1,0)+IF(ISNUMBER(AA3),1,0)+IF(ISNUMBER(AB3),1,0)+IF(ISNUMBER(AC3),1,0)),"")</f>
        <v/>
      </c>
      <c r="AE3" s="3" t="n"/>
      <c r="AF3" s="3" t="n"/>
      <c r="AG3" s="3" t="n"/>
      <c r="AH3" s="3" t="n"/>
      <c r="AI3" s="3" t="n"/>
      <c r="AJ3" s="9">
        <f>IF(AND((IF(ISNUMBER(V3)+ISTEXT(V3),1,0)+IF(ISNUMBER(W3)+ISTEXT(W3),1,0)+IF(ISNUMBER(X3)+ISTEXT(X3),1,0)+IF(ISNUMBER(Y3)+ISTEXT(Y3),1,0)+IF(ISNUMBER(Z3)+ISTEXT(Z3),1,0)+IF(ISNUMBER(AA3)+ISTEXT(AA3),1,0)+IF(ISNUMBER(AB3)+ISTEXT(AB3),1,0)+IF(ISNUMBER(AC3)+ISTEXT(AC3),1,0))&gt;=4,IF(AE3&lt;&gt;"",1,0)=1),"COMPLETE",IF((IF(ISNUMBER(V3)+ISTEXT(V3),1,0)+IF(ISNUMBER(W3)+ISTEXT(W3),1,0)+IF(ISNUMBER(X3)+ISTEXT(X3),1,0)+IF(ISNUMBER(Y3)+ISTEXT(Y3),1,0)+IF(ISNUMBER(Z3)+ISTEXT(Z3),1,0)+IF(ISNUMBER(AA3)+ISTEXT(AA3),1,0)+IF(ISNUMBER(AB3)+ISTEXT(AB3),1,0)+IF(ISNUMBER(AC3)+ISTEXT(AC3),1,0))=0,"NOT STARTED","IN PROGRESS"))</f>
        <v/>
      </c>
    </row>
    <row r="4" ht="220" customHeight="1">
      <c r="A4" s="8" t="inlineStr">
        <is>
          <t>QA-CAL-003</t>
        </is>
      </c>
      <c r="B4" s="4" t="inlineStr">
        <is>
          <t>approved</t>
        </is>
      </c>
      <c r="C4" s="8" t="inlineStr">
        <is>
          <t>gold</t>
        </is>
      </c>
      <c r="D4" s="4" t="inlineStr">
        <is>
          <t>seismology, hydrology</t>
        </is>
      </c>
      <c r="E4" s="4" t="inlineStr">
        <is>
          <t>joint-observation</t>
        </is>
      </c>
      <c r="F4" s="4" t="inlineStr">
        <is>
          <t>method-translation
data-availability-assessment
limitation-translation</t>
        </is>
      </c>
      <c r="G4" s="4" t="inlineStr">
        <is>
          <t>hydrology-seismology</t>
        </is>
      </c>
      <c r="H4" s="4" t="n">
        <v>4</v>
      </c>
      <c r="I4" s="4" t="inlineStr">
        <is>
          <t>Can I replace groundwater-monitoring well networks in California with ambient seismic noise dv/v? I'm building a proposal to deploy dense seismic arrays in the Central Valley and I want to claim dv/v as a hydrology product.</t>
        </is>
      </c>
      <c r="J4" s="4" t="inlineStr">
        <is>
          <t>none</t>
        </is>
      </c>
      <c r="K4" s="4" t="inlineStr"/>
      <c r="L4" s="4" t="inlineStr"/>
      <c r="M4" s="4" t="inlineStr">
        <is>
          <t>CC-seismo-dvv
CC-hydro-h
CC-hydro-S</t>
        </is>
      </c>
      <c r="N4" s="4" t="inlineStr">
        <is>
          <t>MC-seismo-ambient-noise
MC-hydro-NWIS</t>
        </is>
      </c>
      <c r="O4" s="4" t="inlineStr">
        <is>
          <t>PD-aquifer-depletion</t>
        </is>
      </c>
      <c r="P4" s="4" t="inlineStr">
        <is>
          <t>TC-03</t>
        </is>
      </c>
      <c r="Q4" s="4" t="inlineStr"/>
      <c r="R4" s="4" t="inlineStr">
        <is>
          <t>different-regime</t>
        </is>
      </c>
      <c r="S4" s="4" t="inlineStr">
        <is>
          <t>missing-constraint
implausible-calibration
false-equivalence</t>
        </is>
      </c>
      <c r="T4" s="4" t="inlineStr">
        <is>
          <t>• Hedges 'replace' to 'complement' — dv/v cannot fully replace wells at Central Valley scale.
• Calibration is site-specific: dv/v → hydrologic state requires local petrophysics.
• Thermoelastic and source-distribution effects must be separated (Hillers et al. 2015).
• Vertical resolution is coarse: dv/v at 0.5–5 Hz integrates over tens of meters.
• Concrete recommendation: dense seismic deployment + a strategically retained well subset.</t>
        </is>
      </c>
      <c r="U4" s="4" t="inlineStr">
        <is>
          <t>✗ dv/v can fully replace groundwater monitoring wells</t>
        </is>
      </c>
      <c r="V4" s="3" t="n"/>
      <c r="W4" s="3" t="n"/>
      <c r="X4" s="3" t="n"/>
      <c r="Y4" s="3" t="n"/>
      <c r="Z4" s="3" t="n"/>
      <c r="AA4" s="3" t="n"/>
      <c r="AB4" s="3" t="n"/>
      <c r="AC4" s="3" t="n"/>
      <c r="AD4" s="9">
        <f>IFERROR((IFERROR(VALUE(V4),0)+IFERROR(VALUE(W4),0)+IFERROR(VALUE(X4),0)+IFERROR(VALUE(Y4),0)+IFERROR(VALUE(Z4),0)+IFERROR(VALUE(AA4),0)+IFERROR(VALUE(AB4),0)+IFERROR(VALUE(AC4),0))/(IF(ISNUMBER(V4),1,0)+IF(ISNUMBER(W4),1,0)+IF(ISNUMBER(X4),1,0)+IF(ISNUMBER(Y4),1,0)+IF(ISNUMBER(Z4),1,0)+IF(ISNUMBER(AA4),1,0)+IF(ISNUMBER(AB4),1,0)+IF(ISNUMBER(AC4),1,0)),"")</f>
        <v/>
      </c>
      <c r="AE4" s="3" t="n"/>
      <c r="AF4" s="3" t="n"/>
      <c r="AG4" s="3" t="n"/>
      <c r="AH4" s="3" t="n"/>
      <c r="AI4" s="3" t="n"/>
      <c r="AJ4" s="9">
        <f>IF(AND((IF(ISNUMBER(V4)+ISTEXT(V4),1,0)+IF(ISNUMBER(W4)+ISTEXT(W4),1,0)+IF(ISNUMBER(X4)+ISTEXT(X4),1,0)+IF(ISNUMBER(Y4)+ISTEXT(Y4),1,0)+IF(ISNUMBER(Z4)+ISTEXT(Z4),1,0)+IF(ISNUMBER(AA4)+ISTEXT(AA4),1,0)+IF(ISNUMBER(AB4)+ISTEXT(AB4),1,0)+IF(ISNUMBER(AC4)+ISTEXT(AC4),1,0))&gt;=4,IF(AE4&lt;&gt;"",1,0)=1),"COMPLETE",IF((IF(ISNUMBER(V4)+ISTEXT(V4),1,0)+IF(ISNUMBER(W4)+ISTEXT(W4),1,0)+IF(ISNUMBER(X4)+ISTEXT(X4),1,0)+IF(ISNUMBER(Y4)+ISTEXT(Y4),1,0)+IF(ISNUMBER(Z4)+ISTEXT(Z4),1,0)+IF(ISNUMBER(AA4)+ISTEXT(AA4),1,0)+IF(ISNUMBER(AB4)+ISTEXT(AB4),1,0)+IF(ISNUMBER(AC4)+ISTEXT(AC4),1,0))=0,"NOT STARTED","IN PROGRESS"))</f>
        <v/>
      </c>
    </row>
    <row r="5" ht="220" customHeight="1">
      <c r="A5" s="8" t="inlineStr">
        <is>
          <t>QA-EVAL-001</t>
        </is>
      </c>
      <c r="B5" s="4" t="inlineStr">
        <is>
          <t>draft</t>
        </is>
      </c>
      <c r="C5" s="8" t="inlineStr">
        <is>
          <t>silver</t>
        </is>
      </c>
      <c r="D5" s="4" t="inlineStr">
        <is>
          <t>hydrology</t>
        </is>
      </c>
      <c r="E5" s="4" t="inlineStr">
        <is>
          <t>paper-interpretation</t>
        </is>
      </c>
      <c r="F5" s="4" t="inlineStr">
        <is>
          <t>concept-mapping
method-translation</t>
        </is>
      </c>
      <c r="G5" s="4" t="inlineStr"/>
      <c r="H5" s="4" t="n">
        <v>3</v>
      </c>
      <c r="I5" s="4" t="inlineStr">
        <is>
          <t>I just read Famiglietti (2014) 'The global groundwater crisis' in Nature Climate Change. I'm an atmospheric-sciences PhD candidate. What's the essential physics and what should I take away for my own work on climate projections?</t>
        </is>
      </c>
      <c r="J5" s="4" t="inlineStr">
        <is>
          <t>none</t>
        </is>
      </c>
      <c r="K5" s="4" t="inlineStr"/>
      <c r="L5" s="4" t="inlineStr">
        <is>
          <t>Famiglietti 2014 (cited but not attached)</t>
        </is>
      </c>
      <c r="M5" s="4" t="inlineStr">
        <is>
          <t>CC-hydro-S
CC-hydro-recharge
CC-hydro-h</t>
        </is>
      </c>
      <c r="N5" s="4" t="inlineStr">
        <is>
          <t>MC-hydro-GRACE
MC-hydro-NWIS</t>
        </is>
      </c>
      <c r="O5" s="4" t="inlineStr">
        <is>
          <t>PD-aquifer-depletion
PD-drought</t>
        </is>
      </c>
      <c r="P5" s="4" t="inlineStr">
        <is>
          <t>TC-06
TC-18</t>
        </is>
      </c>
      <c r="Q5" s="4" t="inlineStr"/>
      <c r="R5" s="4" t="inlineStr"/>
      <c r="S5" s="4" t="inlineStr">
        <is>
          <t>missing-constraint
concept-confusion</t>
        </is>
      </c>
      <c r="T5" s="4" t="inlineStr">
        <is>
          <t>• Explains storage anomaly (S × Δh) as the core observable from GRACE.
• Distinguishes inelastic storage loss (permanent) from elastic Sₛ.
• Connects to atmospheric forcing: precipitation deficits + irrigation demand both modify storage.
• Implications for climate projections: groundwater contribution to sea-level rise (Konikow 2011).
• Cites Famiglietti and Konikow without fabricating other references.</t>
        </is>
      </c>
      <c r="U5" s="4" t="inlineStr"/>
      <c r="V5" s="3" t="n"/>
      <c r="W5" s="3" t="n"/>
      <c r="X5" s="3" t="n"/>
      <c r="Y5" s="3" t="n"/>
      <c r="Z5" s="3" t="n"/>
      <c r="AA5" s="3" t="n"/>
      <c r="AB5" s="3" t="n"/>
      <c r="AC5" s="3" t="n"/>
      <c r="AD5" s="9">
        <f>IFERROR((IFERROR(VALUE(V5),0)+IFERROR(VALUE(W5),0)+IFERROR(VALUE(X5),0)+IFERROR(VALUE(Y5),0)+IFERROR(VALUE(Z5),0)+IFERROR(VALUE(AA5),0)+IFERROR(VALUE(AB5),0)+IFERROR(VALUE(AC5),0))/(IF(ISNUMBER(V5),1,0)+IF(ISNUMBER(W5),1,0)+IF(ISNUMBER(X5),1,0)+IF(ISNUMBER(Y5),1,0)+IF(ISNUMBER(Z5),1,0)+IF(ISNUMBER(AA5),1,0)+IF(ISNUMBER(AB5),1,0)+IF(ISNUMBER(AC5),1,0)),"")</f>
        <v/>
      </c>
      <c r="AE5" s="3" t="n"/>
      <c r="AF5" s="3" t="n"/>
      <c r="AG5" s="3" t="n"/>
      <c r="AH5" s="3" t="n"/>
      <c r="AI5" s="3" t="n"/>
      <c r="AJ5" s="9">
        <f>IF(AND((IF(ISNUMBER(V5)+ISTEXT(V5),1,0)+IF(ISNUMBER(W5)+ISTEXT(W5),1,0)+IF(ISNUMBER(X5)+ISTEXT(X5),1,0)+IF(ISNUMBER(Y5)+ISTEXT(Y5),1,0)+IF(ISNUMBER(Z5)+ISTEXT(Z5),1,0)+IF(ISNUMBER(AA5)+ISTEXT(AA5),1,0)+IF(ISNUMBER(AB5)+ISTEXT(AB5),1,0)+IF(ISNUMBER(AC5)+ISTEXT(AC5),1,0))&gt;=4,IF(AE5&lt;&gt;"",1,0)=1),"COMPLETE",IF((IF(ISNUMBER(V5)+ISTEXT(V5),1,0)+IF(ISNUMBER(W5)+ISTEXT(W5),1,0)+IF(ISNUMBER(X5)+ISTEXT(X5),1,0)+IF(ISNUMBER(Y5)+ISTEXT(Y5),1,0)+IF(ISNUMBER(Z5)+ISTEXT(Z5),1,0)+IF(ISNUMBER(AA5)+ISTEXT(AA5),1,0)+IF(ISNUMBER(AB5)+ISTEXT(AB5),1,0)+IF(ISNUMBER(AC5)+ISTEXT(AC5),1,0))=0,"NOT STARTED","IN PROGRESS"))</f>
        <v/>
      </c>
    </row>
    <row r="6" ht="220" customHeight="1">
      <c r="A6" s="8" t="inlineStr">
        <is>
          <t>QA-EVAL-002</t>
        </is>
      </c>
      <c r="B6" s="4" t="inlineStr">
        <is>
          <t>draft</t>
        </is>
      </c>
      <c r="C6" s="8" t="inlineStr">
        <is>
          <t>silver</t>
        </is>
      </c>
      <c r="D6" s="4" t="inlineStr">
        <is>
          <t>seismology</t>
        </is>
      </c>
      <c r="E6" s="4" t="inlineStr">
        <is>
          <t>paper-interpretation</t>
        </is>
      </c>
      <c r="F6" s="4" t="inlineStr">
        <is>
          <t>terminology-bridging
limitation-translation</t>
        </is>
      </c>
      <c r="G6" s="4" t="inlineStr"/>
      <c r="H6" s="4" t="n">
        <v>3</v>
      </c>
      <c r="I6" s="4" t="inlineStr">
        <is>
          <t>I'm an ecologist who just read Brenguier et al. (2008) 'Postseismic relaxation along the San Andreas fault at Parkfield from continuous seismological observations' in Science. I don't know seismology — what's the essential physics, and is there anything in this paper relevant to ambient-acoustic monitoring in ecology?</t>
        </is>
      </c>
      <c r="J6" s="4" t="inlineStr">
        <is>
          <t>none</t>
        </is>
      </c>
      <c r="K6" s="4" t="inlineStr"/>
      <c r="L6" s="4" t="inlineStr">
        <is>
          <t>Brenguier et al. 2008 (cited but not attached)</t>
        </is>
      </c>
      <c r="M6" s="4" t="inlineStr">
        <is>
          <t>CC-seismo-dvv
CC-seismo-noise</t>
        </is>
      </c>
      <c r="N6" s="4" t="inlineStr">
        <is>
          <t>MC-seismo-ambient-noise</t>
        </is>
      </c>
      <c r="O6" s="4" t="inlineStr"/>
      <c r="P6" s="4" t="inlineStr">
        <is>
          <t>TC-03</t>
        </is>
      </c>
      <c r="Q6" s="4" t="inlineStr">
        <is>
          <t>noise</t>
        </is>
      </c>
      <c r="R6" s="4" t="inlineStr"/>
      <c r="S6" s="4" t="inlineStr">
        <is>
          <t>terminology-failure
false-equivalence</t>
        </is>
      </c>
      <c r="T6" s="4" t="inlineStr">
        <is>
          <t>• Explains dv/v as fractional velocity change from coda-wave interferometry.
• Distinguishes 'ambient noise' in seismology (the signal!) from acoustic ambient in ecology (vocabulary collision).
• Notes the postseismic-relaxation timescale (months) is a seismology observable, not directly ecological.
• Honestly states: minimal direct relevance to ecology bioacoustics; shared signal-processing techniques exist.
• Suggests TC-03 if ecologist is interested in the hydrology-seismology bridge.</t>
        </is>
      </c>
      <c r="U6" s="4" t="inlineStr">
        <is>
          <t>✗ seismic dv/v is the same as bioacoustic ambient monitoring</t>
        </is>
      </c>
      <c r="V6" s="3" t="n"/>
      <c r="W6" s="3" t="n"/>
      <c r="X6" s="3" t="n"/>
      <c r="Y6" s="3" t="n"/>
      <c r="Z6" s="3" t="n"/>
      <c r="AA6" s="3" t="n"/>
      <c r="AB6" s="3" t="n"/>
      <c r="AC6" s="3" t="n"/>
      <c r="AD6" s="9">
        <f>IFERROR((IFERROR(VALUE(V6),0)+IFERROR(VALUE(W6),0)+IFERROR(VALUE(X6),0)+IFERROR(VALUE(Y6),0)+IFERROR(VALUE(Z6),0)+IFERROR(VALUE(AA6),0)+IFERROR(VALUE(AB6),0)+IFERROR(VALUE(AC6),0))/(IF(ISNUMBER(V6),1,0)+IF(ISNUMBER(W6),1,0)+IF(ISNUMBER(X6),1,0)+IF(ISNUMBER(Y6),1,0)+IF(ISNUMBER(Z6),1,0)+IF(ISNUMBER(AA6),1,0)+IF(ISNUMBER(AB6),1,0)+IF(ISNUMBER(AC6),1,0)),"")</f>
        <v/>
      </c>
      <c r="AE6" s="3" t="n"/>
      <c r="AF6" s="3" t="n"/>
      <c r="AG6" s="3" t="n"/>
      <c r="AH6" s="3" t="n"/>
      <c r="AI6" s="3" t="n"/>
      <c r="AJ6" s="9">
        <f>IF(AND((IF(ISNUMBER(V6)+ISTEXT(V6),1,0)+IF(ISNUMBER(W6)+ISTEXT(W6),1,0)+IF(ISNUMBER(X6)+ISTEXT(X6),1,0)+IF(ISNUMBER(Y6)+ISTEXT(Y6),1,0)+IF(ISNUMBER(Z6)+ISTEXT(Z6),1,0)+IF(ISNUMBER(AA6)+ISTEXT(AA6),1,0)+IF(ISNUMBER(AB6)+ISTEXT(AB6),1,0)+IF(ISNUMBER(AC6)+ISTEXT(AC6),1,0))&gt;=4,IF(AE6&lt;&gt;"",1,0)=1),"COMPLETE",IF((IF(ISNUMBER(V6)+ISTEXT(V6),1,0)+IF(ISNUMBER(W6)+ISTEXT(W6),1,0)+IF(ISNUMBER(X6)+ISTEXT(X6),1,0)+IF(ISNUMBER(Y6)+ISTEXT(Y6),1,0)+IF(ISNUMBER(Z6)+ISTEXT(Z6),1,0)+IF(ISNUMBER(AA6)+ISTEXT(AA6),1,0)+IF(ISNUMBER(AB6)+ISTEXT(AB6),1,0)+IF(ISNUMBER(AC6)+ISTEXT(AC6),1,0))=0,"NOT STARTED","IN PROGRESS"))</f>
        <v/>
      </c>
    </row>
    <row r="7" ht="220" customHeight="1">
      <c r="A7" s="8" t="inlineStr">
        <is>
          <t>QA-EVAL-003</t>
        </is>
      </c>
      <c r="B7" s="4" t="inlineStr">
        <is>
          <t>draft</t>
        </is>
      </c>
      <c r="C7" s="8" t="inlineStr">
        <is>
          <t>silver</t>
        </is>
      </c>
      <c r="D7" s="4" t="inlineStr">
        <is>
          <t>geotechnical_engineering</t>
        </is>
      </c>
      <c r="E7" s="4" t="inlineStr">
        <is>
          <t>paper-interpretation</t>
        </is>
      </c>
      <c r="F7" s="4" t="inlineStr">
        <is>
          <t>method-translation
concept-mapping</t>
        </is>
      </c>
      <c r="G7" s="4" t="inlineStr"/>
      <c r="H7" s="4" t="n">
        <v>3</v>
      </c>
      <c r="I7" s="4" t="inlineStr">
        <is>
          <t>I'm a geomorphologist who studies landslides. I just read Iverson (2000) 'Landslide triggering by rain infiltration' WRR. The hydrology and the geomechanics blur together. Can you separate them for me — what's the geotech engineering content vs. the hydrology content?</t>
        </is>
      </c>
      <c r="J7" s="4" t="inlineStr">
        <is>
          <t>none</t>
        </is>
      </c>
      <c r="K7" s="4" t="inlineStr"/>
      <c r="L7" s="4" t="inlineStr">
        <is>
          <t>Iverson 2000 WRR (cited)</t>
        </is>
      </c>
      <c r="M7" s="4" t="inlineStr">
        <is>
          <t>CC-geotech-MohrCoulomb
CC-geotech-PorePressure
CC-geotech-FS
CC-hydro-p</t>
        </is>
      </c>
      <c r="N7" s="4" t="inlineStr"/>
      <c r="O7" s="4" t="inlineStr">
        <is>
          <t>PD-AR-landslide</t>
        </is>
      </c>
      <c r="P7" s="4" t="inlineStr">
        <is>
          <t>TC-02
TC-11</t>
        </is>
      </c>
      <c r="Q7" s="4" t="inlineStr"/>
      <c r="R7" s="4" t="inlineStr"/>
      <c r="S7" s="4" t="inlineStr">
        <is>
          <t>concept-confusion
false-equivalence</t>
        </is>
      </c>
      <c r="T7" s="4" t="inlineStr">
        <is>
          <t>• Geotech content: Mohr-Coulomb failure criterion and transient FS calculation.
• Hydrology content: pore-pressure diffusion through the unsaturated zone.
• The bridge: TC-02 effective stress; pore pressure modifies σ' and FS.
• Geomorphic application: TC-11 — same equation, natural-hillslope boundary conditions.
• Cites Iverson 2000 specifically without fabricating others.</t>
        </is>
      </c>
      <c r="U7" s="4" t="inlineStr"/>
      <c r="V7" s="3" t="n"/>
      <c r="W7" s="3" t="n"/>
      <c r="X7" s="3" t="n"/>
      <c r="Y7" s="3" t="n"/>
      <c r="Z7" s="3" t="n"/>
      <c r="AA7" s="3" t="n"/>
      <c r="AB7" s="3" t="n"/>
      <c r="AC7" s="3" t="n"/>
      <c r="AD7" s="9">
        <f>IFERROR((IFERROR(VALUE(V7),0)+IFERROR(VALUE(W7),0)+IFERROR(VALUE(X7),0)+IFERROR(VALUE(Y7),0)+IFERROR(VALUE(Z7),0)+IFERROR(VALUE(AA7),0)+IFERROR(VALUE(AB7),0)+IFERROR(VALUE(AC7),0))/(IF(ISNUMBER(V7),1,0)+IF(ISNUMBER(W7),1,0)+IF(ISNUMBER(X7),1,0)+IF(ISNUMBER(Y7),1,0)+IF(ISNUMBER(Z7),1,0)+IF(ISNUMBER(AA7),1,0)+IF(ISNUMBER(AB7),1,0)+IF(ISNUMBER(AC7),1,0)),"")</f>
        <v/>
      </c>
      <c r="AE7" s="3" t="n"/>
      <c r="AF7" s="3" t="n"/>
      <c r="AG7" s="3" t="n"/>
      <c r="AH7" s="3" t="n"/>
      <c r="AI7" s="3" t="n"/>
      <c r="AJ7" s="9">
        <f>IF(AND((IF(ISNUMBER(V7)+ISTEXT(V7),1,0)+IF(ISNUMBER(W7)+ISTEXT(W7),1,0)+IF(ISNUMBER(X7)+ISTEXT(X7),1,0)+IF(ISNUMBER(Y7)+ISTEXT(Y7),1,0)+IF(ISNUMBER(Z7)+ISTEXT(Z7),1,0)+IF(ISNUMBER(AA7)+ISTEXT(AA7),1,0)+IF(ISNUMBER(AB7)+ISTEXT(AB7),1,0)+IF(ISNUMBER(AC7)+ISTEXT(AC7),1,0))&gt;=4,IF(AE7&lt;&gt;"",1,0)=1),"COMPLETE",IF((IF(ISNUMBER(V7)+ISTEXT(V7),1,0)+IF(ISNUMBER(W7)+ISTEXT(W7),1,0)+IF(ISNUMBER(X7)+ISTEXT(X7),1,0)+IF(ISNUMBER(Y7)+ISTEXT(Y7),1,0)+IF(ISNUMBER(Z7)+ISTEXT(Z7),1,0)+IF(ISNUMBER(AA7)+ISTEXT(AA7),1,0)+IF(ISNUMBER(AB7)+ISTEXT(AB7),1,0)+IF(ISNUMBER(AC7)+ISTEXT(AC7),1,0))=0,"NOT STARTED","IN PROGRESS"))</f>
        <v/>
      </c>
    </row>
    <row r="8" ht="220" customHeight="1">
      <c r="A8" s="8" t="inlineStr">
        <is>
          <t>QA-EVAL-004</t>
        </is>
      </c>
      <c r="B8" s="4" t="inlineStr">
        <is>
          <t>draft</t>
        </is>
      </c>
      <c r="C8" s="8" t="inlineStr">
        <is>
          <t>silver</t>
        </is>
      </c>
      <c r="D8" s="4" t="inlineStr">
        <is>
          <t>geomorphology</t>
        </is>
      </c>
      <c r="E8" s="4" t="inlineStr">
        <is>
          <t>paper-interpretation</t>
        </is>
      </c>
      <c r="F8" s="4" t="inlineStr">
        <is>
          <t>concept-mapping
parameter-threshold-equivalence</t>
        </is>
      </c>
      <c r="G8" s="4" t="inlineStr"/>
      <c r="H8" s="4" t="n">
        <v>4</v>
      </c>
      <c r="I8" s="4" t="inlineStr">
        <is>
          <t>I'm a hydrologist reading Roering et al. (1999) 'Evidence for nonlinear, diffusive sediment transport on hillslopes' WRR. The math looks like the diffusion equations I use, but the rates are very different. Help me make the bridge.</t>
        </is>
      </c>
      <c r="J8" s="4" t="inlineStr">
        <is>
          <t>none</t>
        </is>
      </c>
      <c r="K8" s="4" t="inlineStr"/>
      <c r="L8" s="4" t="inlineStr">
        <is>
          <t>Roering et al. 1999 WRR (cited)</t>
        </is>
      </c>
      <c r="M8" s="4" t="inlineStr">
        <is>
          <t>CC-geomorph-D
CC-hydro-D
CC-geomorph-erosion-rate</t>
        </is>
      </c>
      <c r="N8" s="4" t="inlineStr"/>
      <c r="O8" s="4" t="inlineStr"/>
      <c r="P8" s="4" t="inlineStr">
        <is>
          <t>TC-01</t>
        </is>
      </c>
      <c r="Q8" s="4" t="inlineStr">
        <is>
          <t>diffusivity</t>
        </is>
      </c>
      <c r="R8" s="4" t="inlineStr"/>
      <c r="S8" s="4" t="inlineStr">
        <is>
          <t>implausible-calibration
false-equivalence</t>
        </is>
      </c>
      <c r="T8" s="4" t="inlineStr">
        <is>
          <t>• TC-01 is the bridge: the same diffusion equation governs both.
• Hydraulic D (m²/s) vs. hillslope κ (m²/yr) — ~10¹⁰× scale difference.
• Linear form breaks at slope angle near angle of repose (Roering nonlinear).
• Cosmogenic isotope work anchors the long-term erosion rate (timescale 10³–10⁵ yr).
• Honestly states: the equation is the same; the substrate physics and timescales are different.</t>
        </is>
      </c>
      <c r="U8" s="4" t="inlineStr">
        <is>
          <t>✗ hydraulic and hillslope diffusion have the same diffusivity</t>
        </is>
      </c>
      <c r="V8" s="3" t="n"/>
      <c r="W8" s="3" t="n"/>
      <c r="X8" s="3" t="n"/>
      <c r="Y8" s="3" t="n"/>
      <c r="Z8" s="3" t="n"/>
      <c r="AA8" s="3" t="n"/>
      <c r="AB8" s="3" t="n"/>
      <c r="AC8" s="3" t="n"/>
      <c r="AD8" s="9">
        <f>IFERROR((IFERROR(VALUE(V8),0)+IFERROR(VALUE(W8),0)+IFERROR(VALUE(X8),0)+IFERROR(VALUE(Y8),0)+IFERROR(VALUE(Z8),0)+IFERROR(VALUE(AA8),0)+IFERROR(VALUE(AB8),0)+IFERROR(VALUE(AC8),0))/(IF(ISNUMBER(V8),1,0)+IF(ISNUMBER(W8),1,0)+IF(ISNUMBER(X8),1,0)+IF(ISNUMBER(Y8),1,0)+IF(ISNUMBER(Z8),1,0)+IF(ISNUMBER(AA8),1,0)+IF(ISNUMBER(AB8),1,0)+IF(ISNUMBER(AC8),1,0)),"")</f>
        <v/>
      </c>
      <c r="AE8" s="3" t="n"/>
      <c r="AF8" s="3" t="n"/>
      <c r="AG8" s="3" t="n"/>
      <c r="AH8" s="3" t="n"/>
      <c r="AI8" s="3" t="n"/>
      <c r="AJ8" s="9">
        <f>IF(AND((IF(ISNUMBER(V8)+ISTEXT(V8),1,0)+IF(ISNUMBER(W8)+ISTEXT(W8),1,0)+IF(ISNUMBER(X8)+ISTEXT(X8),1,0)+IF(ISNUMBER(Y8)+ISTEXT(Y8),1,0)+IF(ISNUMBER(Z8)+ISTEXT(Z8),1,0)+IF(ISNUMBER(AA8)+ISTEXT(AA8),1,0)+IF(ISNUMBER(AB8)+ISTEXT(AB8),1,0)+IF(ISNUMBER(AC8)+ISTEXT(AC8),1,0))&gt;=4,IF(AE8&lt;&gt;"",1,0)=1),"COMPLETE",IF((IF(ISNUMBER(V8)+ISTEXT(V8),1,0)+IF(ISNUMBER(W8)+ISTEXT(W8),1,0)+IF(ISNUMBER(X8)+ISTEXT(X8),1,0)+IF(ISNUMBER(Y8)+ISTEXT(Y8),1,0)+IF(ISNUMBER(Z8)+ISTEXT(Z8),1,0)+IF(ISNUMBER(AA8)+ISTEXT(AA8),1,0)+IF(ISNUMBER(AB8)+ISTEXT(AB8),1,0)+IF(ISNUMBER(AC8)+ISTEXT(AC8),1,0))=0,"NOT STARTED","IN PROGRESS"))</f>
        <v/>
      </c>
    </row>
    <row r="9" ht="220" customHeight="1">
      <c r="A9" s="8" t="inlineStr">
        <is>
          <t>QA-EVAL-005</t>
        </is>
      </c>
      <c r="B9" s="4" t="inlineStr">
        <is>
          <t>draft</t>
        </is>
      </c>
      <c r="C9" s="8" t="inlineStr">
        <is>
          <t>silver</t>
        </is>
      </c>
      <c r="D9" s="4" t="inlineStr">
        <is>
          <t>atmospheric_sciences</t>
        </is>
      </c>
      <c r="E9" s="4" t="inlineStr">
        <is>
          <t>paper-interpretation</t>
        </is>
      </c>
      <c r="F9" s="4" t="inlineStr">
        <is>
          <t>concept-mapping
limitation-translation</t>
        </is>
      </c>
      <c r="G9" s="4" t="inlineStr"/>
      <c r="H9" s="4" t="n">
        <v>3</v>
      </c>
      <c r="I9" s="4" t="inlineStr">
        <is>
          <t>I'm a geotechnical engineer who just read Ralph et al. (2019) on the AR Scale. What are the key atmospheric variables, and which of them matter for dam and levee safety?</t>
        </is>
      </c>
      <c r="J9" s="4" t="inlineStr">
        <is>
          <t>none</t>
        </is>
      </c>
      <c r="K9" s="4" t="inlineStr"/>
      <c r="L9" s="4" t="inlineStr">
        <is>
          <t>Ralph et al. 2019 BAMS</t>
        </is>
      </c>
      <c r="M9" s="4" t="inlineStr">
        <is>
          <t>CC-atm-IVT
CC-atm-precip
CC-atm-q</t>
        </is>
      </c>
      <c r="N9" s="4" t="inlineStr">
        <is>
          <t>MC-atm-GPM
MC-atm-ERA5</t>
        </is>
      </c>
      <c r="O9" s="4" t="inlineStr">
        <is>
          <t>PD-atmospheric-river
PD-dam-levee-safety</t>
        </is>
      </c>
      <c r="P9" s="4" t="inlineStr">
        <is>
          <t>TC-15</t>
        </is>
      </c>
      <c r="Q9" s="4" t="inlineStr"/>
      <c r="R9" s="4" t="inlineStr"/>
      <c r="S9" s="4" t="inlineStr">
        <is>
          <t>missing-constraint
implausible-calibration</t>
        </is>
      </c>
      <c r="T9" s="4" t="inlineStr">
        <is>
          <t>• Defines IVT (kg/m/s) as the AR-Scale categorization variable.
• AR-Scale 1–5 by peak IVT + duration; AR-5 events are the design-storm regime.
• Geotech relevance: AR precipitation drives embankment pore-pressure rise.
• Climate-change intensification (TC-15) means historical PMP / PMF need revisiting.
• Cites Ralph et al. 2019 correctly.</t>
        </is>
      </c>
      <c r="U9" s="4" t="inlineStr"/>
      <c r="V9" s="3" t="n"/>
      <c r="W9" s="3" t="n"/>
      <c r="X9" s="3" t="n"/>
      <c r="Y9" s="3" t="n"/>
      <c r="Z9" s="3" t="n"/>
      <c r="AA9" s="3" t="n"/>
      <c r="AB9" s="3" t="n"/>
      <c r="AC9" s="3" t="n"/>
      <c r="AD9" s="9">
        <f>IFERROR((IFERROR(VALUE(V9),0)+IFERROR(VALUE(W9),0)+IFERROR(VALUE(X9),0)+IFERROR(VALUE(Y9),0)+IFERROR(VALUE(Z9),0)+IFERROR(VALUE(AA9),0)+IFERROR(VALUE(AB9),0)+IFERROR(VALUE(AC9),0))/(IF(ISNUMBER(V9),1,0)+IF(ISNUMBER(W9),1,0)+IF(ISNUMBER(X9),1,0)+IF(ISNUMBER(Y9),1,0)+IF(ISNUMBER(Z9),1,0)+IF(ISNUMBER(AA9),1,0)+IF(ISNUMBER(AB9),1,0)+IF(ISNUMBER(AC9),1,0)),"")</f>
        <v/>
      </c>
      <c r="AE9" s="3" t="n"/>
      <c r="AF9" s="3" t="n"/>
      <c r="AG9" s="3" t="n"/>
      <c r="AH9" s="3" t="n"/>
      <c r="AI9" s="3" t="n"/>
      <c r="AJ9" s="9">
        <f>IF(AND((IF(ISNUMBER(V9)+ISTEXT(V9),1,0)+IF(ISNUMBER(W9)+ISTEXT(W9),1,0)+IF(ISNUMBER(X9)+ISTEXT(X9),1,0)+IF(ISNUMBER(Y9)+ISTEXT(Y9),1,0)+IF(ISNUMBER(Z9)+ISTEXT(Z9),1,0)+IF(ISNUMBER(AA9)+ISTEXT(AA9),1,0)+IF(ISNUMBER(AB9)+ISTEXT(AB9),1,0)+IF(ISNUMBER(AC9)+ISTEXT(AC9),1,0))&gt;=4,IF(AE9&lt;&gt;"",1,0)=1),"COMPLETE",IF((IF(ISNUMBER(V9)+ISTEXT(V9),1,0)+IF(ISNUMBER(W9)+ISTEXT(W9),1,0)+IF(ISNUMBER(X9)+ISTEXT(X9),1,0)+IF(ISNUMBER(Y9)+ISTEXT(Y9),1,0)+IF(ISNUMBER(Z9)+ISTEXT(Z9),1,0)+IF(ISNUMBER(AA9)+ISTEXT(AA9),1,0)+IF(ISNUMBER(AB9)+ISTEXT(AB9),1,0)+IF(ISNUMBER(AC9)+ISTEXT(AC9),1,0))=0,"NOT STARTED","IN PROGRESS"))</f>
        <v/>
      </c>
    </row>
    <row r="10" ht="220" customHeight="1">
      <c r="A10" s="8" t="inlineStr">
        <is>
          <t>QA-EVAL-006</t>
        </is>
      </c>
      <c r="B10" s="4" t="inlineStr">
        <is>
          <t>draft</t>
        </is>
      </c>
      <c r="C10" s="8" t="inlineStr">
        <is>
          <t>silver</t>
        </is>
      </c>
      <c r="D10" s="4" t="inlineStr">
        <is>
          <t>ecology</t>
        </is>
      </c>
      <c r="E10" s="4" t="inlineStr">
        <is>
          <t>paper-interpretation</t>
        </is>
      </c>
      <c r="F10" s="4" t="inlineStr">
        <is>
          <t>method-translation
sensor-data-equivalence</t>
        </is>
      </c>
      <c r="G10" s="4" t="inlineStr"/>
      <c r="H10" s="4" t="n">
        <v>4</v>
      </c>
      <c r="I10" s="4" t="inlineStr">
        <is>
          <t>I'm a hydrologist who just read Allen et al. (2010) on global drought-induced tree mortality (Forest Ecology and Management). The mechanisms section talks about hydraulic failure and carbon starvation. How does that connect to my soil-moisture and ET observations?</t>
        </is>
      </c>
      <c r="J10" s="4" t="inlineStr">
        <is>
          <t>none</t>
        </is>
      </c>
      <c r="K10" s="4" t="inlineStr"/>
      <c r="L10" s="4" t="inlineStr">
        <is>
          <t>Allen et al. 2010</t>
        </is>
      </c>
      <c r="M10" s="4" t="inlineStr">
        <is>
          <t>CC-eco-GPP
CC-hydro-ET
CC-atm-q</t>
        </is>
      </c>
      <c r="N10" s="4" t="inlineStr">
        <is>
          <t>MC-eco-eddycov
MC-hydro-SMAP</t>
        </is>
      </c>
      <c r="O10" s="4" t="inlineStr">
        <is>
          <t>PD-forest-mortality
PD-flash-drought</t>
        </is>
      </c>
      <c r="P10" s="4" t="inlineStr">
        <is>
          <t>TC-16</t>
        </is>
      </c>
      <c r="Q10" s="4" t="inlineStr"/>
      <c r="R10" s="4" t="inlineStr"/>
      <c r="S10" s="4" t="inlineStr">
        <is>
          <t>concept-confusion
missing-constraint</t>
        </is>
      </c>
      <c r="T10" s="4" t="inlineStr">
        <is>
          <t>• Hydraulic failure: xylem cavitation under sustained low water potential — connects to SMAP root-zone moisture observations.
• Carbon starvation: stomatal closure terminates photosynthesis; eddy covariance shows GPP collapse.
• TC-16 is the bridge: ET and GPP share stomatal conductance at the leaf.
• Soil-moisture observations are the leading indicator if you have the right depth resolution.
• Concrete suggestion: pair MC-hydro-SMAP with FLUXNET towers in your study basin.</t>
        </is>
      </c>
      <c r="U10" s="4" t="inlineStr"/>
      <c r="V10" s="3" t="n"/>
      <c r="W10" s="3" t="n"/>
      <c r="X10" s="3" t="n"/>
      <c r="Y10" s="3" t="n"/>
      <c r="Z10" s="3" t="n"/>
      <c r="AA10" s="3" t="n"/>
      <c r="AB10" s="3" t="n"/>
      <c r="AC10" s="3" t="n"/>
      <c r="AD10" s="9">
        <f>IFERROR((IFERROR(VALUE(V10),0)+IFERROR(VALUE(W10),0)+IFERROR(VALUE(X10),0)+IFERROR(VALUE(Y10),0)+IFERROR(VALUE(Z10),0)+IFERROR(VALUE(AA10),0)+IFERROR(VALUE(AB10),0)+IFERROR(VALUE(AC10),0))/(IF(ISNUMBER(V10),1,0)+IF(ISNUMBER(W10),1,0)+IF(ISNUMBER(X10),1,0)+IF(ISNUMBER(Y10),1,0)+IF(ISNUMBER(Z10),1,0)+IF(ISNUMBER(AA10),1,0)+IF(ISNUMBER(AB10),1,0)+IF(ISNUMBER(AC10),1,0)),"")</f>
        <v/>
      </c>
      <c r="AE10" s="3" t="n"/>
      <c r="AF10" s="3" t="n"/>
      <c r="AG10" s="3" t="n"/>
      <c r="AH10" s="3" t="n"/>
      <c r="AI10" s="3" t="n"/>
      <c r="AJ10" s="9">
        <f>IF(AND((IF(ISNUMBER(V10)+ISTEXT(V10),1,0)+IF(ISNUMBER(W10)+ISTEXT(W10),1,0)+IF(ISNUMBER(X10)+ISTEXT(X10),1,0)+IF(ISNUMBER(Y10)+ISTEXT(Y10),1,0)+IF(ISNUMBER(Z10)+ISTEXT(Z10),1,0)+IF(ISNUMBER(AA10)+ISTEXT(AA10),1,0)+IF(ISNUMBER(AB10)+ISTEXT(AB10),1,0)+IF(ISNUMBER(AC10)+ISTEXT(AC10),1,0))&gt;=4,IF(AE10&lt;&gt;"",1,0)=1),"COMPLETE",IF((IF(ISNUMBER(V10)+ISTEXT(V10),1,0)+IF(ISNUMBER(W10)+ISTEXT(W10),1,0)+IF(ISNUMBER(X10)+ISTEXT(X10),1,0)+IF(ISNUMBER(Y10)+ISTEXT(Y10),1,0)+IF(ISNUMBER(Z10)+ISTEXT(Z10),1,0)+IF(ISNUMBER(AA10)+ISTEXT(AA10),1,0)+IF(ISNUMBER(AB10)+ISTEXT(AB10),1,0)+IF(ISNUMBER(AC10)+ISTEXT(AC10),1,0))=0,"NOT STARTED","IN PROGRESS"))</f>
        <v/>
      </c>
    </row>
    <row r="11" ht="220" customHeight="1">
      <c r="A11" s="8" t="inlineStr">
        <is>
          <t>QA-EVAL-007</t>
        </is>
      </c>
      <c r="B11" s="4" t="inlineStr">
        <is>
          <t>draft</t>
        </is>
      </c>
      <c r="C11" s="8" t="inlineStr">
        <is>
          <t>silver</t>
        </is>
      </c>
      <c r="D11" s="4" t="inlineStr">
        <is>
          <t>agricultural_sciences</t>
        </is>
      </c>
      <c r="E11" s="4" t="inlineStr">
        <is>
          <t>paper-interpretation</t>
        </is>
      </c>
      <c r="F11" s="4" t="inlineStr">
        <is>
          <t>data-availability-assessment
parameter-threshold-equivalence</t>
        </is>
      </c>
      <c r="G11" s="4" t="inlineStr"/>
      <c r="H11" s="4" t="n">
        <v>3</v>
      </c>
      <c r="I11" s="4" t="inlineStr">
        <is>
          <t>I'm a seismologist who reads about California seasonal-seismicity studies (Johnson et al. 2017 in Science). I want to understand the agricultural side: how big is the irrigation withdrawal that's loading the crust, and where does that water come from?</t>
        </is>
      </c>
      <c r="J11" s="4" t="inlineStr">
        <is>
          <t>none</t>
        </is>
      </c>
      <c r="K11" s="4" t="inlineStr"/>
      <c r="L11" s="4" t="inlineStr">
        <is>
          <t>Johnson et al. 2017</t>
        </is>
      </c>
      <c r="M11" s="4" t="inlineStr">
        <is>
          <t>CC-ag-irrigation-demand
CC-hydro-recharge</t>
        </is>
      </c>
      <c r="N11" s="4" t="inlineStr">
        <is>
          <t>MC-hydro-GRACE
MC-ag-NASS-CDL</t>
        </is>
      </c>
      <c r="O11" s="4" t="inlineStr">
        <is>
          <t>PD-aquifer-depletion
PD-subsidence-consolidation</t>
        </is>
      </c>
      <c r="P11" s="4" t="inlineStr">
        <is>
          <t>TC-18</t>
        </is>
      </c>
      <c r="Q11" s="4" t="inlineStr"/>
      <c r="R11" s="4" t="inlineStr"/>
      <c r="S11" s="4" t="inlineStr">
        <is>
          <t>domain-ignorance
implausible-calibration</t>
        </is>
      </c>
      <c r="T11" s="4" t="inlineStr">
        <is>
          <t>• California Central Valley irrigation: ~10–20 km³/yr pumping, exceeds recharge in dry years.
• Source: groundwater + surface (State Water Project + Central Valley Project).
• Loading mechanism: aquifer mass change directly modulates surface elastic load.
• Johnson et al. 2017 documents seasonal seismicity correlating with seasonal storage cycle.
• Cites Faunt 2016 for the consolidation/subsidence side.</t>
        </is>
      </c>
      <c r="U11" s="4" t="inlineStr"/>
      <c r="V11" s="3" t="n"/>
      <c r="W11" s="3" t="n"/>
      <c r="X11" s="3" t="n"/>
      <c r="Y11" s="3" t="n"/>
      <c r="Z11" s="3" t="n"/>
      <c r="AA11" s="3" t="n"/>
      <c r="AB11" s="3" t="n"/>
      <c r="AC11" s="3" t="n"/>
      <c r="AD11" s="9">
        <f>IFERROR((IFERROR(VALUE(V11),0)+IFERROR(VALUE(W11),0)+IFERROR(VALUE(X11),0)+IFERROR(VALUE(Y11),0)+IFERROR(VALUE(Z11),0)+IFERROR(VALUE(AA11),0)+IFERROR(VALUE(AB11),0)+IFERROR(VALUE(AC11),0))/(IF(ISNUMBER(V11),1,0)+IF(ISNUMBER(W11),1,0)+IF(ISNUMBER(X11),1,0)+IF(ISNUMBER(Y11),1,0)+IF(ISNUMBER(Z11),1,0)+IF(ISNUMBER(AA11),1,0)+IF(ISNUMBER(AB11),1,0)+IF(ISNUMBER(AC11),1,0)),"")</f>
        <v/>
      </c>
      <c r="AE11" s="3" t="n"/>
      <c r="AF11" s="3" t="n"/>
      <c r="AG11" s="3" t="n"/>
      <c r="AH11" s="3" t="n"/>
      <c r="AI11" s="3" t="n"/>
      <c r="AJ11" s="9">
        <f>IF(AND((IF(ISNUMBER(V11)+ISTEXT(V11),1,0)+IF(ISNUMBER(W11)+ISTEXT(W11),1,0)+IF(ISNUMBER(X11)+ISTEXT(X11),1,0)+IF(ISNUMBER(Y11)+ISTEXT(Y11),1,0)+IF(ISNUMBER(Z11)+ISTEXT(Z11),1,0)+IF(ISNUMBER(AA11)+ISTEXT(AA11),1,0)+IF(ISNUMBER(AB11)+ISTEXT(AB11),1,0)+IF(ISNUMBER(AC11)+ISTEXT(AC11),1,0))&gt;=4,IF(AE11&lt;&gt;"",1,0)=1),"COMPLETE",IF((IF(ISNUMBER(V11)+ISTEXT(V11),1,0)+IF(ISNUMBER(W11)+ISTEXT(W11),1,0)+IF(ISNUMBER(X11)+ISTEXT(X11),1,0)+IF(ISNUMBER(Y11)+ISTEXT(Y11),1,0)+IF(ISNUMBER(Z11)+ISTEXT(Z11),1,0)+IF(ISNUMBER(AA11)+ISTEXT(AA11),1,0)+IF(ISNUMBER(AB11)+ISTEXT(AB11),1,0)+IF(ISNUMBER(AC11)+ISTEXT(AC11),1,0))=0,"NOT STARTED","IN PROGRESS"))</f>
        <v/>
      </c>
    </row>
    <row r="12" ht="220" customHeight="1">
      <c r="A12" s="8" t="inlineStr">
        <is>
          <t>QA-EVAL-008</t>
        </is>
      </c>
      <c r="B12" s="4" t="inlineStr">
        <is>
          <t>draft</t>
        </is>
      </c>
      <c r="C12" s="8" t="inlineStr">
        <is>
          <t>silver</t>
        </is>
      </c>
      <c r="D12" s="4" t="inlineStr">
        <is>
          <t>near_surface_geophysics</t>
        </is>
      </c>
      <c r="E12" s="4" t="inlineStr">
        <is>
          <t>paper-interpretation</t>
        </is>
      </c>
      <c r="F12" s="4" t="inlineStr">
        <is>
          <t>sensor-data-equivalence
concept-mapping</t>
        </is>
      </c>
      <c r="G12" s="4" t="inlineStr"/>
      <c r="H12" s="4" t="n">
        <v>4</v>
      </c>
      <c r="I12" s="4" t="inlineStr">
        <is>
          <t>I'm a hydrology researcher reading Minsley et al. (2021) on the USGS Mississippi Embayment AEM survey (Scientific Reports). The geophysics methods are unfamiliar. How do I read a σ map as a hydrologist?</t>
        </is>
      </c>
      <c r="J12" s="4" t="inlineStr">
        <is>
          <t>none</t>
        </is>
      </c>
      <c r="K12" s="4" t="inlineStr"/>
      <c r="L12" s="4" t="inlineStr">
        <is>
          <t>Minsley et al. 2021</t>
        </is>
      </c>
      <c r="M12" s="4" t="inlineStr">
        <is>
          <t>CC-nsg-resistivity
CC-nsg-EM-conductivity
CC-hydro-K</t>
        </is>
      </c>
      <c r="N12" s="4" t="inlineStr">
        <is>
          <t>MC-nsg-AEM
MC-nsg-ERT</t>
        </is>
      </c>
      <c r="O12" s="4" t="inlineStr">
        <is>
          <t>PD-aquifer-architecture</t>
        </is>
      </c>
      <c r="P12" s="4" t="inlineStr">
        <is>
          <t>TC-08</t>
        </is>
      </c>
      <c r="Q12" s="4" t="inlineStr"/>
      <c r="R12" s="4" t="inlineStr"/>
      <c r="S12" s="4" t="inlineStr">
        <is>
          <t>concept-confusion
missing-constraint</t>
        </is>
      </c>
      <c r="T12" s="4" t="inlineStr">
        <is>
          <t>• Archie's law is the petrophysical bridge: σ depends on porosity, saturation, fluid conductivity.
• Low σ in saline aquifers vs. high σ in clay-bearing aquitards — the architecture distinction.
• AEM resolves 100–400 m depth at 50–200 m line spacing — regional scale.
• Near-surface (&lt;10 m) resolution is poor; complement with ground ERT or wells.
• Honest caveat: σ → K conversion requires petrophysical calibration with local well data.</t>
        </is>
      </c>
      <c r="U12" s="4" t="inlineStr"/>
      <c r="V12" s="3" t="n"/>
      <c r="W12" s="3" t="n"/>
      <c r="X12" s="3" t="n"/>
      <c r="Y12" s="3" t="n"/>
      <c r="Z12" s="3" t="n"/>
      <c r="AA12" s="3" t="n"/>
      <c r="AB12" s="3" t="n"/>
      <c r="AC12" s="3" t="n"/>
      <c r="AD12" s="9">
        <f>IFERROR((IFERROR(VALUE(V12),0)+IFERROR(VALUE(W12),0)+IFERROR(VALUE(X12),0)+IFERROR(VALUE(Y12),0)+IFERROR(VALUE(Z12),0)+IFERROR(VALUE(AA12),0)+IFERROR(VALUE(AB12),0)+IFERROR(VALUE(AC12),0))/(IF(ISNUMBER(V12),1,0)+IF(ISNUMBER(W12),1,0)+IF(ISNUMBER(X12),1,0)+IF(ISNUMBER(Y12),1,0)+IF(ISNUMBER(Z12),1,0)+IF(ISNUMBER(AA12),1,0)+IF(ISNUMBER(AB12),1,0)+IF(ISNUMBER(AC12),1,0)),"")</f>
        <v/>
      </c>
      <c r="AE12" s="3" t="n"/>
      <c r="AF12" s="3" t="n"/>
      <c r="AG12" s="3" t="n"/>
      <c r="AH12" s="3" t="n"/>
      <c r="AI12" s="3" t="n"/>
      <c r="AJ12" s="9">
        <f>IF(AND((IF(ISNUMBER(V12)+ISTEXT(V12),1,0)+IF(ISNUMBER(W12)+ISTEXT(W12),1,0)+IF(ISNUMBER(X12)+ISTEXT(X12),1,0)+IF(ISNUMBER(Y12)+ISTEXT(Y12),1,0)+IF(ISNUMBER(Z12)+ISTEXT(Z12),1,0)+IF(ISNUMBER(AA12)+ISTEXT(AA12),1,0)+IF(ISNUMBER(AB12)+ISTEXT(AB12),1,0)+IF(ISNUMBER(AC12)+ISTEXT(AC12),1,0))&gt;=4,IF(AE12&lt;&gt;"",1,0)=1),"COMPLETE",IF((IF(ISNUMBER(V12)+ISTEXT(V12),1,0)+IF(ISNUMBER(W12)+ISTEXT(W12),1,0)+IF(ISNUMBER(X12)+ISTEXT(X12),1,0)+IF(ISNUMBER(Y12)+ISTEXT(Y12),1,0)+IF(ISNUMBER(Z12)+ISTEXT(Z12),1,0)+IF(ISNUMBER(AA12)+ISTEXT(AA12),1,0)+IF(ISNUMBER(AB12)+ISTEXT(AB12),1,0)+IF(ISNUMBER(AC12)+ISTEXT(AC12),1,0))=0,"NOT STARTED","IN PROGRESS"))</f>
        <v/>
      </c>
    </row>
    <row r="13" ht="220" customHeight="1">
      <c r="A13" s="8" t="inlineStr">
        <is>
          <t>QA-EVAL-009</t>
        </is>
      </c>
      <c r="B13" s="4" t="inlineStr">
        <is>
          <t>draft</t>
        </is>
      </c>
      <c r="C13" s="8" t="inlineStr">
        <is>
          <t>gold</t>
        </is>
      </c>
      <c r="D13" s="4" t="inlineStr">
        <is>
          <t>geomorphology</t>
        </is>
      </c>
      <c r="E13" s="4" t="inlineStr">
        <is>
          <t>paper-interpretation</t>
        </is>
      </c>
      <c r="F13" s="4" t="inlineStr">
        <is>
          <t>sensor-data-equivalence
method-translation
limitation-translation</t>
        </is>
      </c>
      <c r="G13" s="4" t="inlineStr"/>
      <c r="H13" s="4" t="n">
        <v>5</v>
      </c>
      <c r="I13" s="4" t="inlineStr">
        <is>
          <t>I'm an atmospheric scientist working on AR climatology. I just read Burtin et al. (2008) JGR on seismic noise from bedload transport. Walk me through the physics — what does this tell me about coupling between ARs, river discharge, and bedload?</t>
        </is>
      </c>
      <c r="J13" s="4" t="inlineStr">
        <is>
          <t>none</t>
        </is>
      </c>
      <c r="K13" s="4" t="inlineStr"/>
      <c r="L13" s="4" t="inlineStr">
        <is>
          <t>Burtin et al. 2008</t>
        </is>
      </c>
      <c r="M13" s="4" t="inlineStr">
        <is>
          <t>CC-seismo-noise
CC-geomorph-Qs
CC-geomorph-streampower
CC-hydro-Q</t>
        </is>
      </c>
      <c r="N13" s="4" t="inlineStr">
        <is>
          <t>MC-seismo-broadband
MC-geomorph-sediment-monitoring</t>
        </is>
      </c>
      <c r="O13" s="4" t="inlineStr">
        <is>
          <t>PD-river-floods
PD-atmospheric-river</t>
        </is>
      </c>
      <c r="P13" s="4" t="inlineStr">
        <is>
          <t>TC-14
TC-15</t>
        </is>
      </c>
      <c r="Q13" s="4" t="inlineStr"/>
      <c r="R13" s="4" t="inlineStr"/>
      <c r="S13" s="4" t="inlineStr">
        <is>
          <t>missing-constraint
implausible-calibration
false-equivalence</t>
        </is>
      </c>
      <c r="T13" s="4" t="inlineStr">
        <is>
          <t>• Bedload transport produces broadband seismic noise (1–100 Hz) as grains impact bed.
• TC-14 is the bridge: passive seismic monitoring of bedload — continuous, non-intrusive.
• AR connection: AR-driven storms → high Q → high bedload → high seismic noise. The same atmospheric forcing modulates all three.
• TC-15 (Clausius-Clapeyron) intensification means more bedload-driven seismic signal in a warming climate.
• Suggests joint AR-precipitation + streamflow + seismic-noise time series at instrumented basins.</t>
        </is>
      </c>
      <c r="U13" s="4" t="inlineStr"/>
      <c r="V13" s="3" t="n"/>
      <c r="W13" s="3" t="n"/>
      <c r="X13" s="3" t="n"/>
      <c r="Y13" s="3" t="n"/>
      <c r="Z13" s="3" t="n"/>
      <c r="AA13" s="3" t="n"/>
      <c r="AB13" s="3" t="n"/>
      <c r="AC13" s="3" t="n"/>
      <c r="AD13" s="9">
        <f>IFERROR((IFERROR(VALUE(V13),0)+IFERROR(VALUE(W13),0)+IFERROR(VALUE(X13),0)+IFERROR(VALUE(Y13),0)+IFERROR(VALUE(Z13),0)+IFERROR(VALUE(AA13),0)+IFERROR(VALUE(AB13),0)+IFERROR(VALUE(AC13),0))/(IF(ISNUMBER(V13),1,0)+IF(ISNUMBER(W13),1,0)+IF(ISNUMBER(X13),1,0)+IF(ISNUMBER(Y13),1,0)+IF(ISNUMBER(Z13),1,0)+IF(ISNUMBER(AA13),1,0)+IF(ISNUMBER(AB13),1,0)+IF(ISNUMBER(AC13),1,0)),"")</f>
        <v/>
      </c>
      <c r="AE13" s="3" t="n"/>
      <c r="AF13" s="3" t="n"/>
      <c r="AG13" s="3" t="n"/>
      <c r="AH13" s="3" t="n"/>
      <c r="AI13" s="3" t="n"/>
      <c r="AJ13" s="9">
        <f>IF(AND((IF(ISNUMBER(V13)+ISTEXT(V13),1,0)+IF(ISNUMBER(W13)+ISTEXT(W13),1,0)+IF(ISNUMBER(X13)+ISTEXT(X13),1,0)+IF(ISNUMBER(Y13)+ISTEXT(Y13),1,0)+IF(ISNUMBER(Z13)+ISTEXT(Z13),1,0)+IF(ISNUMBER(AA13)+ISTEXT(AA13),1,0)+IF(ISNUMBER(AB13)+ISTEXT(AB13),1,0)+IF(ISNUMBER(AC13)+ISTEXT(AC13),1,0))&gt;=4,IF(AE13&lt;&gt;"",1,0)=1),"COMPLETE",IF((IF(ISNUMBER(V13)+ISTEXT(V13),1,0)+IF(ISNUMBER(W13)+ISTEXT(W13),1,0)+IF(ISNUMBER(X13)+ISTEXT(X13),1,0)+IF(ISNUMBER(Y13)+ISTEXT(Y13),1,0)+IF(ISNUMBER(Z13)+ISTEXT(Z13),1,0)+IF(ISNUMBER(AA13)+ISTEXT(AA13),1,0)+IF(ISNUMBER(AB13)+ISTEXT(AB13),1,0)+IF(ISNUMBER(AC13)+ISTEXT(AC13),1,0))=0,"NOT STARTED","IN PROGRESS"))</f>
        <v/>
      </c>
    </row>
    <row r="14" ht="220" customHeight="1">
      <c r="A14" s="8" t="inlineStr">
        <is>
          <t>QA-EVAL-010</t>
        </is>
      </c>
      <c r="B14" s="4" t="inlineStr">
        <is>
          <t>draft</t>
        </is>
      </c>
      <c r="C14" s="8" t="inlineStr">
        <is>
          <t>silver</t>
        </is>
      </c>
      <c r="D14" s="4" t="inlineStr">
        <is>
          <t>hydrology, seismology</t>
        </is>
      </c>
      <c r="E14" s="4" t="inlineStr">
        <is>
          <t>integration</t>
        </is>
      </c>
      <c r="F14" s="4" t="inlineStr">
        <is>
          <t>concept-mapping
method-translation</t>
        </is>
      </c>
      <c r="G14" s="4" t="inlineStr">
        <is>
          <t>hydrology-seismology</t>
        </is>
      </c>
      <c r="H14" s="4" t="n">
        <v>3</v>
      </c>
      <c r="I14" s="4" t="inlineStr">
        <is>
          <t>I work on aquifer-recharge modeling. How does my work connect to seismology? Are there real, mechanistic bridges or just statistical correlations?</t>
        </is>
      </c>
      <c r="J14" s="4" t="inlineStr">
        <is>
          <t>none</t>
        </is>
      </c>
      <c r="K14" s="4" t="inlineStr"/>
      <c r="L14" s="4" t="inlineStr"/>
      <c r="M14" s="4" t="inlineStr">
        <is>
          <t>CC-hydro-p
CC-hydro-D
CC-seismo-stress</t>
        </is>
      </c>
      <c r="N14" s="4" t="inlineStr">
        <is>
          <t>MC-seismo-ambient-noise</t>
        </is>
      </c>
      <c r="O14" s="4" t="inlineStr">
        <is>
          <t>PD-induced-seismicity
PD-eq-hydro-coupling</t>
        </is>
      </c>
      <c r="P14" s="4" t="inlineStr">
        <is>
          <t>TC-02
TC-03</t>
        </is>
      </c>
      <c r="Q14" s="4" t="inlineStr"/>
      <c r="R14" s="4" t="inlineStr"/>
      <c r="S14" s="4" t="inlineStr">
        <is>
          <t>false-equivalence
missing-constraint</t>
        </is>
      </c>
      <c r="T14" s="4" t="inlineStr">
        <is>
          <t>• TC-02 effective stress: mechanistic bridge, not statistical.
• Hydraulic diffusion D maps to fault-pressure diffusion (PD-induced-seismicity r²/t analysis).
• TC-03 dv/v: ambient seismic noise tracks groundwater storage changes.
• Two productive next steps: induced-seismicity literature (Ellsworth 2013), dv/v in your basin (Clements &amp; Denolle 2018).
• Refuses to assert spurious correlations not grounded in TC-02 / TC-03.</t>
        </is>
      </c>
      <c r="U14" s="4" t="inlineStr"/>
      <c r="V14" s="3" t="n"/>
      <c r="W14" s="3" t="n"/>
      <c r="X14" s="3" t="n"/>
      <c r="Y14" s="3" t="n"/>
      <c r="Z14" s="3" t="n"/>
      <c r="AA14" s="3" t="n"/>
      <c r="AB14" s="3" t="n"/>
      <c r="AC14" s="3" t="n"/>
      <c r="AD14" s="9">
        <f>IFERROR((IFERROR(VALUE(V14),0)+IFERROR(VALUE(W14),0)+IFERROR(VALUE(X14),0)+IFERROR(VALUE(Y14),0)+IFERROR(VALUE(Z14),0)+IFERROR(VALUE(AA14),0)+IFERROR(VALUE(AB14),0)+IFERROR(VALUE(AC14),0))/(IF(ISNUMBER(V14),1,0)+IF(ISNUMBER(W14),1,0)+IF(ISNUMBER(X14),1,0)+IF(ISNUMBER(Y14),1,0)+IF(ISNUMBER(Z14),1,0)+IF(ISNUMBER(AA14),1,0)+IF(ISNUMBER(AB14),1,0)+IF(ISNUMBER(AC14),1,0)),"")</f>
        <v/>
      </c>
      <c r="AE14" s="3" t="n"/>
      <c r="AF14" s="3" t="n"/>
      <c r="AG14" s="3" t="n"/>
      <c r="AH14" s="3" t="n"/>
      <c r="AI14" s="3" t="n"/>
      <c r="AJ14" s="9">
        <f>IF(AND((IF(ISNUMBER(V14)+ISTEXT(V14),1,0)+IF(ISNUMBER(W14)+ISTEXT(W14),1,0)+IF(ISNUMBER(X14)+ISTEXT(X14),1,0)+IF(ISNUMBER(Y14)+ISTEXT(Y14),1,0)+IF(ISNUMBER(Z14)+ISTEXT(Z14),1,0)+IF(ISNUMBER(AA14)+ISTEXT(AA14),1,0)+IF(ISNUMBER(AB14)+ISTEXT(AB14),1,0)+IF(ISNUMBER(AC14)+ISTEXT(AC14),1,0))&gt;=4,IF(AE14&lt;&gt;"",1,0)=1),"COMPLETE",IF((IF(ISNUMBER(V14)+ISTEXT(V14),1,0)+IF(ISNUMBER(W14)+ISTEXT(W14),1,0)+IF(ISNUMBER(X14)+ISTEXT(X14),1,0)+IF(ISNUMBER(Y14)+ISTEXT(Y14),1,0)+IF(ISNUMBER(Z14)+ISTEXT(Z14),1,0)+IF(ISNUMBER(AA14)+ISTEXT(AA14),1,0)+IF(ISNUMBER(AB14)+ISTEXT(AB14),1,0)+IF(ISNUMBER(AC14)+ISTEXT(AC14),1,0))=0,"NOT STARTED","IN PROGRESS"))</f>
        <v/>
      </c>
    </row>
    <row r="15" ht="220" customHeight="1">
      <c r="A15" s="8" t="inlineStr">
        <is>
          <t>QA-EVAL-011</t>
        </is>
      </c>
      <c r="B15" s="4" t="inlineStr">
        <is>
          <t>draft</t>
        </is>
      </c>
      <c r="C15" s="8" t="inlineStr">
        <is>
          <t>gold</t>
        </is>
      </c>
      <c r="D15" s="4" t="inlineStr">
        <is>
          <t>geomorphology, ecology, atmospheric_sciences</t>
        </is>
      </c>
      <c r="E15" s="4" t="inlineStr">
        <is>
          <t>integration</t>
        </is>
      </c>
      <c r="F15" s="4" t="inlineStr">
        <is>
          <t>method-translation
parameter-threshold-equivalence
limitation-translation</t>
        </is>
      </c>
      <c r="G15" s="4" t="inlineStr">
        <is>
          <t>atmospheric_sciences-geomorphology
atmospheric_sciences-ecology
ecology-geomorphology</t>
        </is>
      </c>
      <c r="H15" s="4" t="n">
        <v>4</v>
      </c>
      <c r="I15" s="4" t="inlineStr">
        <is>
          <t>I'm interested in modeling post-fire debris-flow hazard under climate change. I'd need to integrate atmospheric (precip), ecological (vegetation recovery), and geomorphic (sediment) processes. What bridges exist between these three?</t>
        </is>
      </c>
      <c r="J15" s="4" t="inlineStr">
        <is>
          <t>none</t>
        </is>
      </c>
      <c r="K15" s="4" t="inlineStr"/>
      <c r="L15" s="4" t="inlineStr"/>
      <c r="M15" s="4" t="inlineStr">
        <is>
          <t>CC-eco-root-cohesion
CC-atm-precip
CC-geomorph-Qs</t>
        </is>
      </c>
      <c r="N15" s="4" t="inlineStr">
        <is>
          <t>MC-geomorph-debris-flow-modeling</t>
        </is>
      </c>
      <c r="O15" s="4" t="inlineStr">
        <is>
          <t>PD-post-fire-erosion
PD-debris-flow
PD-fire-recovery</t>
        </is>
      </c>
      <c r="P15" s="4" t="inlineStr">
        <is>
          <t>TC-11
TC-13
TC-15</t>
        </is>
      </c>
      <c r="Q15" s="4" t="inlineStr"/>
      <c r="R15" s="4" t="inlineStr"/>
      <c r="S15" s="4" t="inlineStr">
        <is>
          <t>missing-constraint
implausible-calibration
concept-confusion</t>
        </is>
      </c>
      <c r="T15" s="4" t="inlineStr">
        <is>
          <t>• Three coupled mechanisms: root-cohesion decay (eco), runoff intensification (hydro/atm), sediment yield amplification (geomorph).
• TC-15: climate-driven precipitation intensification ↔ post-fire erosion window.
• TC-11: root-cohesion contribution to natural-hillslope FS.
• Cannon et al. 2008 post-fire rainfall thresholds, derived in CA/CO, may not transfer to PNW.
• Suggests a coupled modeling stack: NWP precipitation → CLM/ELM vegetation → Landlab/D-Claw sediment.</t>
        </is>
      </c>
      <c r="U15" s="4" t="inlineStr"/>
      <c r="V15" s="3" t="n"/>
      <c r="W15" s="3" t="n"/>
      <c r="X15" s="3" t="n"/>
      <c r="Y15" s="3" t="n"/>
      <c r="Z15" s="3" t="n"/>
      <c r="AA15" s="3" t="n"/>
      <c r="AB15" s="3" t="n"/>
      <c r="AC15" s="3" t="n"/>
      <c r="AD15" s="9">
        <f>IFERROR((IFERROR(VALUE(V15),0)+IFERROR(VALUE(W15),0)+IFERROR(VALUE(X15),0)+IFERROR(VALUE(Y15),0)+IFERROR(VALUE(Z15),0)+IFERROR(VALUE(AA15),0)+IFERROR(VALUE(AB15),0)+IFERROR(VALUE(AC15),0))/(IF(ISNUMBER(V15),1,0)+IF(ISNUMBER(W15),1,0)+IF(ISNUMBER(X15),1,0)+IF(ISNUMBER(Y15),1,0)+IF(ISNUMBER(Z15),1,0)+IF(ISNUMBER(AA15),1,0)+IF(ISNUMBER(AB15),1,0)+IF(ISNUMBER(AC15),1,0)),"")</f>
        <v/>
      </c>
      <c r="AE15" s="3" t="n"/>
      <c r="AF15" s="3" t="n"/>
      <c r="AG15" s="3" t="n"/>
      <c r="AH15" s="3" t="n"/>
      <c r="AI15" s="3" t="n"/>
      <c r="AJ15" s="9">
        <f>IF(AND((IF(ISNUMBER(V15)+ISTEXT(V15),1,0)+IF(ISNUMBER(W15)+ISTEXT(W15),1,0)+IF(ISNUMBER(X15)+ISTEXT(X15),1,0)+IF(ISNUMBER(Y15)+ISTEXT(Y15),1,0)+IF(ISNUMBER(Z15)+ISTEXT(Z15),1,0)+IF(ISNUMBER(AA15)+ISTEXT(AA15),1,0)+IF(ISNUMBER(AB15)+ISTEXT(AB15),1,0)+IF(ISNUMBER(AC15)+ISTEXT(AC15),1,0))&gt;=4,IF(AE15&lt;&gt;"",1,0)=1),"COMPLETE",IF((IF(ISNUMBER(V15)+ISTEXT(V15),1,0)+IF(ISNUMBER(W15)+ISTEXT(W15),1,0)+IF(ISNUMBER(X15)+ISTEXT(X15),1,0)+IF(ISNUMBER(Y15)+ISTEXT(Y15),1,0)+IF(ISNUMBER(Z15)+ISTEXT(Z15),1,0)+IF(ISNUMBER(AA15)+ISTEXT(AA15),1,0)+IF(ISNUMBER(AB15)+ISTEXT(AB15),1,0)+IF(ISNUMBER(AC15)+ISTEXT(AC15),1,0))=0,"NOT STARTED","IN PROGRESS"))</f>
        <v/>
      </c>
    </row>
    <row r="16" ht="220" customHeight="1">
      <c r="A16" s="8" t="inlineStr">
        <is>
          <t>QA-EVAL-012</t>
        </is>
      </c>
      <c r="B16" s="4" t="inlineStr">
        <is>
          <t>draft</t>
        </is>
      </c>
      <c r="C16" s="8" t="inlineStr">
        <is>
          <t>gold</t>
        </is>
      </c>
      <c r="D16" s="4" t="inlineStr">
        <is>
          <t>geotechnical_engineering, hydrology, agricultural_sciences</t>
        </is>
      </c>
      <c r="E16" s="4" t="inlineStr">
        <is>
          <t>integration</t>
        </is>
      </c>
      <c r="F16" s="4" t="inlineStr">
        <is>
          <t>method-translation
data-availability-assessment
parameter-threshold-equivalence</t>
        </is>
      </c>
      <c r="G16" s="4" t="inlineStr">
        <is>
          <t>agricultural_sciences-hydrology
geotechnical_engineering-hydrology
agricultural_sciences-geotechnical_engineering</t>
        </is>
      </c>
      <c r="H16" s="4" t="n">
        <v>4</v>
      </c>
      <c r="I16" s="4" t="inlineStr">
        <is>
          <t>I'm proposing a multi-discipline study of California Central Valley land subsidence. I want to integrate the hydrology (pumping), agriculture (irrigation demand), and geotechnical engineering (consolidation). How do the three communities talk to each other, and what bridges are operational?</t>
        </is>
      </c>
      <c r="J16" s="4" t="inlineStr">
        <is>
          <t>none</t>
        </is>
      </c>
      <c r="K16" s="4" t="inlineStr"/>
      <c r="L16" s="4" t="inlineStr"/>
      <c r="M16" s="4" t="inlineStr">
        <is>
          <t>CC-ag-irrigation-demand
CC-hydro-recharge
CC-geotech-cv
CC-geotech-MohrCoulomb</t>
        </is>
      </c>
      <c r="N16" s="4" t="inlineStr">
        <is>
          <t>MC-hydro-GRACE
MC-geomorph-InSAR</t>
        </is>
      </c>
      <c r="O16" s="4" t="inlineStr">
        <is>
          <t>PD-aquifer-depletion
PD-subsidence-consolidation</t>
        </is>
      </c>
      <c r="P16" s="4" t="inlineStr">
        <is>
          <t>TC-02
TC-13
TC-18</t>
        </is>
      </c>
      <c r="Q16" s="4" t="inlineStr"/>
      <c r="R16" s="4" t="inlineStr"/>
      <c r="S16" s="4" t="inlineStr">
        <is>
          <t>missing-constraint
domain-ignorance
false-equivalence</t>
        </is>
      </c>
      <c r="T16" s="4" t="inlineStr">
        <is>
          <t>• TC-02 effective stress is the deep bridge; pumping → reduced p → increased σ' → consolidation.
• Operational data: USGS NWIS wells + GRACE TWS + Sentinel-1 InSAR.
• Permanent storage loss (inelastic m_v) is the key non-reversible cost.
• Faunt 2016 documents 9 m cumulative subsidence; agricultural side is the driver.
• Suggests a digital-twin approach pairing hydrology, geotech, and InSAR.</t>
        </is>
      </c>
      <c r="U16" s="4" t="inlineStr"/>
      <c r="V16" s="3" t="n"/>
      <c r="W16" s="3" t="n"/>
      <c r="X16" s="3" t="n"/>
      <c r="Y16" s="3" t="n"/>
      <c r="Z16" s="3" t="n"/>
      <c r="AA16" s="3" t="n"/>
      <c r="AB16" s="3" t="n"/>
      <c r="AC16" s="3" t="n"/>
      <c r="AD16" s="9">
        <f>IFERROR((IFERROR(VALUE(V16),0)+IFERROR(VALUE(W16),0)+IFERROR(VALUE(X16),0)+IFERROR(VALUE(Y16),0)+IFERROR(VALUE(Z16),0)+IFERROR(VALUE(AA16),0)+IFERROR(VALUE(AB16),0)+IFERROR(VALUE(AC16),0))/(IF(ISNUMBER(V16),1,0)+IF(ISNUMBER(W16),1,0)+IF(ISNUMBER(X16),1,0)+IF(ISNUMBER(Y16),1,0)+IF(ISNUMBER(Z16),1,0)+IF(ISNUMBER(AA16),1,0)+IF(ISNUMBER(AB16),1,0)+IF(ISNUMBER(AC16),1,0)),"")</f>
        <v/>
      </c>
      <c r="AE16" s="3" t="n"/>
      <c r="AF16" s="3" t="n"/>
      <c r="AG16" s="3" t="n"/>
      <c r="AH16" s="3" t="n"/>
      <c r="AI16" s="3" t="n"/>
      <c r="AJ16" s="9">
        <f>IF(AND((IF(ISNUMBER(V16)+ISTEXT(V16),1,0)+IF(ISNUMBER(W16)+ISTEXT(W16),1,0)+IF(ISNUMBER(X16)+ISTEXT(X16),1,0)+IF(ISNUMBER(Y16)+ISTEXT(Y16),1,0)+IF(ISNUMBER(Z16)+ISTEXT(Z16),1,0)+IF(ISNUMBER(AA16)+ISTEXT(AA16),1,0)+IF(ISNUMBER(AB16)+ISTEXT(AB16),1,0)+IF(ISNUMBER(AC16)+ISTEXT(AC16),1,0))&gt;=4,IF(AE16&lt;&gt;"",1,0)=1),"COMPLETE",IF((IF(ISNUMBER(V16)+ISTEXT(V16),1,0)+IF(ISNUMBER(W16)+ISTEXT(W16),1,0)+IF(ISNUMBER(X16)+ISTEXT(X16),1,0)+IF(ISNUMBER(Y16)+ISTEXT(Y16),1,0)+IF(ISNUMBER(Z16)+ISTEXT(Z16),1,0)+IF(ISNUMBER(AA16)+ISTEXT(AA16),1,0)+IF(ISNUMBER(AB16)+ISTEXT(AB16),1,0)+IF(ISNUMBER(AC16)+ISTEXT(AC16),1,0))=0,"NOT STARTED","IN PROGRESS"))</f>
        <v/>
      </c>
    </row>
    <row r="17" ht="220" customHeight="1">
      <c r="A17" s="8" t="inlineStr">
        <is>
          <t>QA-EVAL-013</t>
        </is>
      </c>
      <c r="B17" s="4" t="inlineStr">
        <is>
          <t>draft</t>
        </is>
      </c>
      <c r="C17" s="8" t="inlineStr">
        <is>
          <t>silver</t>
        </is>
      </c>
      <c r="D17" s="4" t="inlineStr">
        <is>
          <t>seismology, near_surface_geophysics, geotechnical_engineering</t>
        </is>
      </c>
      <c r="E17" s="4" t="inlineStr">
        <is>
          <t>integration</t>
        </is>
      </c>
      <c r="F17" s="4" t="inlineStr">
        <is>
          <t>method-translation
sensor-data-equivalence
limitation-translation</t>
        </is>
      </c>
      <c r="G17" s="4" t="inlineStr">
        <is>
          <t>geotechnical_engineering-seismology
near_surface_geophysics-seismology
geotechnical_engineering-near_surface_geophysics</t>
        </is>
      </c>
      <c r="H17" s="4" t="n">
        <v>4</v>
      </c>
      <c r="I17" s="4" t="inlineStr">
        <is>
          <t>I'm a seismologist with regional tomography work in the PNW. How do my Vs models connect to the geotechnical site characterization that the Cascadia hazard community needs?</t>
        </is>
      </c>
      <c r="J17" s="4" t="inlineStr">
        <is>
          <t>none</t>
        </is>
      </c>
      <c r="K17" s="4" t="inlineStr"/>
      <c r="L17" s="4" t="inlineStr"/>
      <c r="M17" s="4" t="inlineStr">
        <is>
          <t>CC-seismo-Vs
CC-geotech-G-Gmax</t>
        </is>
      </c>
      <c r="N17" s="4" t="inlineStr">
        <is>
          <t>MC-seismo-tomography
MC-seismo-MASW
MC-geotech-CPT</t>
        </is>
      </c>
      <c r="O17" s="4" t="inlineStr">
        <is>
          <t>PD-site-response
PD-liquefaction</t>
        </is>
      </c>
      <c r="P17" s="4" t="inlineStr">
        <is>
          <t>TC-12
TC-10</t>
        </is>
      </c>
      <c r="Q17" s="4" t="inlineStr"/>
      <c r="R17" s="4" t="inlineStr"/>
      <c r="S17" s="4" t="inlineStr">
        <is>
          <t>false-equivalence
missing-constraint
concept-confusion</t>
        </is>
      </c>
      <c r="T17" s="4" t="inlineStr">
        <is>
          <t>• TC-12 is the depth-regime bridge: tomography 0.1-10 km, MASW 5-50 m, borehole 0-30 m.
• Vs30 derived from the upper-30-m portion of the seismologist's profile.
• TC-10: linear seismology gives the elastic Vs; engineering site response needs G/Gmax nonlinearity.
• Joint inversion (TC-08) combining seismology + geotech bridges the 'missing middle' 50 m - 1 km.
• Operational next step: MASW or seismic CPT at sites where tomography under-resolves the upper 100 m.</t>
        </is>
      </c>
      <c r="U17" s="4" t="inlineStr"/>
      <c r="V17" s="3" t="n"/>
      <c r="W17" s="3" t="n"/>
      <c r="X17" s="3" t="n"/>
      <c r="Y17" s="3" t="n"/>
      <c r="Z17" s="3" t="n"/>
      <c r="AA17" s="3" t="n"/>
      <c r="AB17" s="3" t="n"/>
      <c r="AC17" s="3" t="n"/>
      <c r="AD17" s="9">
        <f>IFERROR((IFERROR(VALUE(V17),0)+IFERROR(VALUE(W17),0)+IFERROR(VALUE(X17),0)+IFERROR(VALUE(Y17),0)+IFERROR(VALUE(Z17),0)+IFERROR(VALUE(AA17),0)+IFERROR(VALUE(AB17),0)+IFERROR(VALUE(AC17),0))/(IF(ISNUMBER(V17),1,0)+IF(ISNUMBER(W17),1,0)+IF(ISNUMBER(X17),1,0)+IF(ISNUMBER(Y17),1,0)+IF(ISNUMBER(Z17),1,0)+IF(ISNUMBER(AA17),1,0)+IF(ISNUMBER(AB17),1,0)+IF(ISNUMBER(AC17),1,0)),"")</f>
        <v/>
      </c>
      <c r="AE17" s="3" t="n"/>
      <c r="AF17" s="3" t="n"/>
      <c r="AG17" s="3" t="n"/>
      <c r="AH17" s="3" t="n"/>
      <c r="AI17" s="3" t="n"/>
      <c r="AJ17" s="9">
        <f>IF(AND((IF(ISNUMBER(V17)+ISTEXT(V17),1,0)+IF(ISNUMBER(W17)+ISTEXT(W17),1,0)+IF(ISNUMBER(X17)+ISTEXT(X17),1,0)+IF(ISNUMBER(Y17)+ISTEXT(Y17),1,0)+IF(ISNUMBER(Z17)+ISTEXT(Z17),1,0)+IF(ISNUMBER(AA17)+ISTEXT(AA17),1,0)+IF(ISNUMBER(AB17)+ISTEXT(AB17),1,0)+IF(ISNUMBER(AC17)+ISTEXT(AC17),1,0))&gt;=4,IF(AE17&lt;&gt;"",1,0)=1),"COMPLETE",IF((IF(ISNUMBER(V17)+ISTEXT(V17),1,0)+IF(ISNUMBER(W17)+ISTEXT(W17),1,0)+IF(ISNUMBER(X17)+ISTEXT(X17),1,0)+IF(ISNUMBER(Y17)+ISTEXT(Y17),1,0)+IF(ISNUMBER(Z17)+ISTEXT(Z17),1,0)+IF(ISNUMBER(AA17)+ISTEXT(AA17),1,0)+IF(ISNUMBER(AB17)+ISTEXT(AB17),1,0)+IF(ISNUMBER(AC17)+ISTEXT(AC17),1,0))=0,"NOT STARTED","IN PROGRESS"))</f>
        <v/>
      </c>
    </row>
    <row r="18" ht="220" customHeight="1">
      <c r="A18" s="8" t="inlineStr">
        <is>
          <t>QA-EVAL-014</t>
        </is>
      </c>
      <c r="B18" s="4" t="inlineStr">
        <is>
          <t>draft</t>
        </is>
      </c>
      <c r="C18" s="8" t="inlineStr">
        <is>
          <t>bronze</t>
        </is>
      </c>
      <c r="D18" s="4" t="inlineStr">
        <is>
          <t>hydrology, geotechnical_engineering</t>
        </is>
      </c>
      <c r="E18" s="4" t="inlineStr">
        <is>
          <t>vocabulary-disambiguation</t>
        </is>
      </c>
      <c r="F18" s="4" t="inlineStr">
        <is>
          <t>terminology-bridging
concept-mapping</t>
        </is>
      </c>
      <c r="G18" s="4" t="inlineStr">
        <is>
          <t>geotechnical_engineering-hydrology</t>
        </is>
      </c>
      <c r="H18" s="4" t="n">
        <v>2</v>
      </c>
      <c r="I18" s="4" t="inlineStr">
        <is>
          <t>I'm reading a hydrogeology paper that uses 'permeability' and a geotechnical paper that uses 'permeability' — they seem to mean the same thing but I'm not sure. Are they the same?</t>
        </is>
      </c>
      <c r="J18" s="4" t="inlineStr">
        <is>
          <t>none</t>
        </is>
      </c>
      <c r="K18" s="4" t="inlineStr"/>
      <c r="L18" s="4" t="inlineStr"/>
      <c r="M18" s="4" t="inlineStr">
        <is>
          <t>CC-hydro-K
CC-geotech-cv</t>
        </is>
      </c>
      <c r="N18" s="4" t="inlineStr"/>
      <c r="O18" s="4" t="inlineStr"/>
      <c r="P18" s="4" t="inlineStr">
        <is>
          <t>TC-01</t>
        </is>
      </c>
      <c r="Q18" s="4" t="inlineStr">
        <is>
          <t>permeability</t>
        </is>
      </c>
      <c r="R18" s="4" t="inlineStr"/>
      <c r="S18" s="4" t="inlineStr">
        <is>
          <t>terminology-failure
concept-confusion</t>
        </is>
      </c>
      <c r="T18" s="4" t="inlineStr">
        <is>
          <t>• Yes, intrinsic permeability k [m²] is the same physical quantity in both.
• But hydrology often reports hydraulic conductivity K = kρg/μ [m/s]; not the same as k.
• Geotechnical c_v = k/(γ_w m_v) — k appears but coupled with mechanical compressibility.
• Bridge: TC-01 diffusion equation; same equation, different state variable (head vs. pressure).</t>
        </is>
      </c>
      <c r="U18" s="4" t="inlineStr"/>
      <c r="V18" s="3" t="n"/>
      <c r="W18" s="3" t="n"/>
      <c r="X18" s="3" t="n"/>
      <c r="Y18" s="3" t="n"/>
      <c r="Z18" s="3" t="n"/>
      <c r="AA18" s="3" t="n"/>
      <c r="AB18" s="3" t="n"/>
      <c r="AC18" s="3" t="n"/>
      <c r="AD18" s="9">
        <f>IFERROR((IFERROR(VALUE(V18),0)+IFERROR(VALUE(W18),0)+IFERROR(VALUE(X18),0)+IFERROR(VALUE(Y18),0)+IFERROR(VALUE(Z18),0)+IFERROR(VALUE(AA18),0)+IFERROR(VALUE(AB18),0)+IFERROR(VALUE(AC18),0))/(IF(ISNUMBER(V18),1,0)+IF(ISNUMBER(W18),1,0)+IF(ISNUMBER(X18),1,0)+IF(ISNUMBER(Y18),1,0)+IF(ISNUMBER(Z18),1,0)+IF(ISNUMBER(AA18),1,0)+IF(ISNUMBER(AB18),1,0)+IF(ISNUMBER(AC18),1,0)),"")</f>
        <v/>
      </c>
      <c r="AE18" s="3" t="n"/>
      <c r="AF18" s="3" t="n"/>
      <c r="AG18" s="3" t="n"/>
      <c r="AH18" s="3" t="n"/>
      <c r="AI18" s="3" t="n"/>
      <c r="AJ18" s="9">
        <f>IF(AND((IF(ISNUMBER(V18)+ISTEXT(V18),1,0)+IF(ISNUMBER(W18)+ISTEXT(W18),1,0)+IF(ISNUMBER(X18)+ISTEXT(X18),1,0)+IF(ISNUMBER(Y18)+ISTEXT(Y18),1,0)+IF(ISNUMBER(Z18)+ISTEXT(Z18),1,0)+IF(ISNUMBER(AA18)+ISTEXT(AA18),1,0)+IF(ISNUMBER(AB18)+ISTEXT(AB18),1,0)+IF(ISNUMBER(AC18)+ISTEXT(AC18),1,0))&gt;=4,IF(AE18&lt;&gt;"",1,0)=1),"COMPLETE",IF((IF(ISNUMBER(V18)+ISTEXT(V18),1,0)+IF(ISNUMBER(W18)+ISTEXT(W18),1,0)+IF(ISNUMBER(X18)+ISTEXT(X18),1,0)+IF(ISNUMBER(Y18)+ISTEXT(Y18),1,0)+IF(ISNUMBER(Z18)+ISTEXT(Z18),1,0)+IF(ISNUMBER(AA18)+ISTEXT(AA18),1,0)+IF(ISNUMBER(AB18)+ISTEXT(AB18),1,0)+IF(ISNUMBER(AC18)+ISTEXT(AC18),1,0))=0,"NOT STARTED","IN PROGRESS"))</f>
        <v/>
      </c>
    </row>
    <row r="19" ht="220" customHeight="1">
      <c r="A19" s="8" t="inlineStr">
        <is>
          <t>QA-EVAL-015</t>
        </is>
      </c>
      <c r="B19" s="4" t="inlineStr">
        <is>
          <t>draft</t>
        </is>
      </c>
      <c r="C19" s="8" t="inlineStr">
        <is>
          <t>silver</t>
        </is>
      </c>
      <c r="D19" s="4" t="inlineStr">
        <is>
          <t>geotechnical_engineering, seismology</t>
        </is>
      </c>
      <c r="E19" s="4" t="inlineStr">
        <is>
          <t>vocabulary-disambiguation</t>
        </is>
      </c>
      <c r="F19" s="4" t="inlineStr">
        <is>
          <t>terminology-bridging
concept-mapping</t>
        </is>
      </c>
      <c r="G19" s="4" t="inlineStr">
        <is>
          <t>geotechnical_engineering-seismology</t>
        </is>
      </c>
      <c r="H19" s="4" t="n">
        <v>3</v>
      </c>
      <c r="I19" s="4" t="inlineStr">
        <is>
          <t>When my structural-engineering colleagues talk about 'stress,' do they mean the same thing as my seismologist friend who studies stress drop on faults?</t>
        </is>
      </c>
      <c r="J19" s="4" t="inlineStr">
        <is>
          <t>none</t>
        </is>
      </c>
      <c r="K19" s="4" t="inlineStr"/>
      <c r="L19" s="4" t="inlineStr"/>
      <c r="M19" s="4" t="inlineStr">
        <is>
          <t>CC-geotech-MohrCoulomb
CC-seismo-stress</t>
        </is>
      </c>
      <c r="N19" s="4" t="inlineStr"/>
      <c r="O19" s="4" t="inlineStr"/>
      <c r="P19" s="4" t="inlineStr">
        <is>
          <t>TC-02</t>
        </is>
      </c>
      <c r="Q19" s="4" t="inlineStr">
        <is>
          <t>stress</t>
        </is>
      </c>
      <c r="R19" s="4" t="inlineStr"/>
      <c r="S19" s="4" t="inlineStr">
        <is>
          <t>terminology-failure
false-equivalence
concept-confusion</t>
        </is>
      </c>
      <c r="T19" s="4" t="inlineStr">
        <is>
          <t>• The same stress tensor formalism — but conventions differ.
• Geotech defaults: total stress σ vs. effective σ' = σ − p (Terzaghi).
• Seismology defaults: on a fault, σ_n and τ; stress drop Δσ = τ_initial − τ_final.
• Bridge: TC-02 — same Mohr-Coulomb equation on engineered soils and on faults.
• Practical implication: ambient-state stress is rarely what either reports.</t>
        </is>
      </c>
      <c r="U19" s="4" t="inlineStr"/>
      <c r="V19" s="3" t="n"/>
      <c r="W19" s="3" t="n"/>
      <c r="X19" s="3" t="n"/>
      <c r="Y19" s="3" t="n"/>
      <c r="Z19" s="3" t="n"/>
      <c r="AA19" s="3" t="n"/>
      <c r="AB19" s="3" t="n"/>
      <c r="AC19" s="3" t="n"/>
      <c r="AD19" s="9">
        <f>IFERROR((IFERROR(VALUE(V19),0)+IFERROR(VALUE(W19),0)+IFERROR(VALUE(X19),0)+IFERROR(VALUE(Y19),0)+IFERROR(VALUE(Z19),0)+IFERROR(VALUE(AA19),0)+IFERROR(VALUE(AB19),0)+IFERROR(VALUE(AC19),0))/(IF(ISNUMBER(V19),1,0)+IF(ISNUMBER(W19),1,0)+IF(ISNUMBER(X19),1,0)+IF(ISNUMBER(Y19),1,0)+IF(ISNUMBER(Z19),1,0)+IF(ISNUMBER(AA19),1,0)+IF(ISNUMBER(AB19),1,0)+IF(ISNUMBER(AC19),1,0)),"")</f>
        <v/>
      </c>
      <c r="AE19" s="3" t="n"/>
      <c r="AF19" s="3" t="n"/>
      <c r="AG19" s="3" t="n"/>
      <c r="AH19" s="3" t="n"/>
      <c r="AI19" s="3" t="n"/>
      <c r="AJ19" s="9">
        <f>IF(AND((IF(ISNUMBER(V19)+ISTEXT(V19),1,0)+IF(ISNUMBER(W19)+ISTEXT(W19),1,0)+IF(ISNUMBER(X19)+ISTEXT(X19),1,0)+IF(ISNUMBER(Y19)+ISTEXT(Y19),1,0)+IF(ISNUMBER(Z19)+ISTEXT(Z19),1,0)+IF(ISNUMBER(AA19)+ISTEXT(AA19),1,0)+IF(ISNUMBER(AB19)+ISTEXT(AB19),1,0)+IF(ISNUMBER(AC19)+ISTEXT(AC19),1,0))&gt;=4,IF(AE19&lt;&gt;"",1,0)=1),"COMPLETE",IF((IF(ISNUMBER(V19)+ISTEXT(V19),1,0)+IF(ISNUMBER(W19)+ISTEXT(W19),1,0)+IF(ISNUMBER(X19)+ISTEXT(X19),1,0)+IF(ISNUMBER(Y19)+ISTEXT(Y19),1,0)+IF(ISNUMBER(Z19)+ISTEXT(Z19),1,0)+IF(ISNUMBER(AA19)+ISTEXT(AA19),1,0)+IF(ISNUMBER(AB19)+ISTEXT(AB19),1,0)+IF(ISNUMBER(AC19)+ISTEXT(AC19),1,0))=0,"NOT STARTED","IN PROGRESS"))</f>
        <v/>
      </c>
    </row>
    <row r="20" ht="220" customHeight="1">
      <c r="A20" s="8" t="inlineStr">
        <is>
          <t>QA-EVAL-016</t>
        </is>
      </c>
      <c r="B20" s="4" t="inlineStr">
        <is>
          <t>draft</t>
        </is>
      </c>
      <c r="C20" s="8" t="inlineStr">
        <is>
          <t>silver</t>
        </is>
      </c>
      <c r="D20" s="4" t="inlineStr">
        <is>
          <t>seismology, hydrology</t>
        </is>
      </c>
      <c r="E20" s="4" t="inlineStr">
        <is>
          <t>refusal-test</t>
        </is>
      </c>
      <c r="F20" s="4" t="inlineStr">
        <is>
          <t>concept-mapping
method-translation</t>
        </is>
      </c>
      <c r="G20" s="4" t="inlineStr">
        <is>
          <t>hydrology-seismology</t>
        </is>
      </c>
      <c r="H20" s="4" t="n">
        <v>4</v>
      </c>
      <c r="I20" s="4" t="inlineStr">
        <is>
          <t>Both earthquake-magnitude distributions and flood-frequency distributions follow power laws. They must share the same underlying mechanism — what is it? Can I use Gutenberg-Richter machinery to predict flood return periods directly?</t>
        </is>
      </c>
      <c r="J20" s="4" t="inlineStr">
        <is>
          <t>none</t>
        </is>
      </c>
      <c r="K20" s="4" t="inlineStr"/>
      <c r="L20" s="4" t="inlineStr"/>
      <c r="M20" s="4" t="inlineStr">
        <is>
          <t>CC-seismo-GR
CC-geomorph-flood-frequency</t>
        </is>
      </c>
      <c r="N20" s="4" t="inlineStr"/>
      <c r="O20" s="4" t="inlineStr"/>
      <c r="P20" s="4" t="inlineStr">
        <is>
          <t>TC-04</t>
        </is>
      </c>
      <c r="Q20" s="4" t="inlineStr"/>
      <c r="R20" s="4" t="inlineStr">
        <is>
          <t>forced-analogy, surface-power-law-collision</t>
        </is>
      </c>
      <c r="S20" s="4" t="inlineStr">
        <is>
          <t>false-equivalence
hallucinated-analogue</t>
        </is>
      </c>
      <c r="T20" s="4" t="inlineStr">
        <is>
          <t>• Refuses the forced analogy: power laws ≠ shared mechanism.
• Gutenberg-Richter from fault-system self-organized criticality.
• Flood frequency from extreme-precipitation × hydrologic response.
• Statistical machinery (EVT, return periods, completeness) is portable; mechanism is not.
• Concretely: use log-Pearson III (USGS Bulletin 17C) for floods, NOT b-value methodology.</t>
        </is>
      </c>
      <c r="U20" s="4" t="inlineStr">
        <is>
          <t>✗ share the same mechanism
✗ Gutenberg-Richter can predict flood return periods
✗ stress drop and discharge are statistically equivalent</t>
        </is>
      </c>
      <c r="V20" s="3" t="n"/>
      <c r="W20" s="3" t="n"/>
      <c r="X20" s="3" t="n"/>
      <c r="Y20" s="3" t="n"/>
      <c r="Z20" s="3" t="n"/>
      <c r="AA20" s="3" t="n"/>
      <c r="AB20" s="3" t="n"/>
      <c r="AC20" s="3" t="n"/>
      <c r="AD20" s="9">
        <f>IFERROR((IFERROR(VALUE(V20),0)+IFERROR(VALUE(W20),0)+IFERROR(VALUE(X20),0)+IFERROR(VALUE(Y20),0)+IFERROR(VALUE(Z20),0)+IFERROR(VALUE(AA20),0)+IFERROR(VALUE(AB20),0)+IFERROR(VALUE(AC20),0))/(IF(ISNUMBER(V20),1,0)+IF(ISNUMBER(W20),1,0)+IF(ISNUMBER(X20),1,0)+IF(ISNUMBER(Y20),1,0)+IF(ISNUMBER(Z20),1,0)+IF(ISNUMBER(AA20),1,0)+IF(ISNUMBER(AB20),1,0)+IF(ISNUMBER(AC20),1,0)),"")</f>
        <v/>
      </c>
      <c r="AE20" s="3" t="n"/>
      <c r="AF20" s="3" t="n"/>
      <c r="AG20" s="3" t="n"/>
      <c r="AH20" s="3" t="n"/>
      <c r="AI20" s="3" t="n"/>
      <c r="AJ20" s="9">
        <f>IF(AND((IF(ISNUMBER(V20)+ISTEXT(V20),1,0)+IF(ISNUMBER(W20)+ISTEXT(W20),1,0)+IF(ISNUMBER(X20)+ISTEXT(X20),1,0)+IF(ISNUMBER(Y20)+ISTEXT(Y20),1,0)+IF(ISNUMBER(Z20)+ISTEXT(Z20),1,0)+IF(ISNUMBER(AA20)+ISTEXT(AA20),1,0)+IF(ISNUMBER(AB20)+ISTEXT(AB20),1,0)+IF(ISNUMBER(AC20)+ISTEXT(AC20),1,0))&gt;=4,IF(AE20&lt;&gt;"",1,0)=1),"COMPLETE",IF((IF(ISNUMBER(V20)+ISTEXT(V20),1,0)+IF(ISNUMBER(W20)+ISTEXT(W20),1,0)+IF(ISNUMBER(X20)+ISTEXT(X20),1,0)+IF(ISNUMBER(Y20)+ISTEXT(Y20),1,0)+IF(ISNUMBER(Z20)+ISTEXT(Z20),1,0)+IF(ISNUMBER(AA20)+ISTEXT(AA20),1,0)+IF(ISNUMBER(AB20)+ISTEXT(AB20),1,0)+IF(ISNUMBER(AC20)+ISTEXT(AC20),1,0))=0,"NOT STARTED","IN PROGRESS"))</f>
        <v/>
      </c>
    </row>
    <row r="21" ht="220" customHeight="1">
      <c r="A21" s="8" t="inlineStr">
        <is>
          <t>QA-EVAL-017</t>
        </is>
      </c>
      <c r="B21" s="4" t="inlineStr">
        <is>
          <t>draft</t>
        </is>
      </c>
      <c r="C21" s="8" t="inlineStr">
        <is>
          <t>silver</t>
        </is>
      </c>
      <c r="D21" s="4" t="inlineStr">
        <is>
          <t>ecology, seismology</t>
        </is>
      </c>
      <c r="E21" s="4" t="inlineStr">
        <is>
          <t>refusal-test</t>
        </is>
      </c>
      <c r="F21" s="4" t="inlineStr">
        <is>
          <t>terminology-bridging
concept-mapping</t>
        </is>
      </c>
      <c r="G21" s="4" t="inlineStr">
        <is>
          <t>ecology-seismology</t>
        </is>
      </c>
      <c r="H21" s="4" t="n">
        <v>3</v>
      </c>
      <c r="I21" s="4" t="inlineStr">
        <is>
          <t>Both ambient seismic noise and soundscape ecology use 'noise' as their data. What's the connection between seismic noise studies and acoustic biodiversity monitoring? Are they really the same field?</t>
        </is>
      </c>
      <c r="J21" s="4" t="inlineStr">
        <is>
          <t>none</t>
        </is>
      </c>
      <c r="K21" s="4" t="inlineStr"/>
      <c r="L21" s="4" t="inlineStr"/>
      <c r="M21" s="4" t="inlineStr">
        <is>
          <t>CC-seismo-noise</t>
        </is>
      </c>
      <c r="N21" s="4" t="inlineStr">
        <is>
          <t>MC-eco-PAM
MC-seismo-ambient-noise</t>
        </is>
      </c>
      <c r="O21" s="4" t="inlineStr"/>
      <c r="P21" s="4" t="inlineStr"/>
      <c r="Q21" s="4" t="inlineStr">
        <is>
          <t>noise</t>
        </is>
      </c>
      <c r="R21" s="4" t="inlineStr">
        <is>
          <t>vocabulary-collision</t>
        </is>
      </c>
      <c r="S21" s="4" t="inlineStr">
        <is>
          <t>terminology-failure
false-equivalence</t>
        </is>
      </c>
      <c r="T21" s="4" t="inlineStr">
        <is>
          <t>• Refuses to equate the two: same word, different physics.
• Seismic noise is elastic-wave ground motion (m/s); soundscape is acoustic pressure (Pa).
• Shared signal-processing techniques (spectral analysis, ML pickers) — but not shared substrate.
• Genuinely different fields, with separate publication and instrumentation communities.
• One small connection: marine ocean-bottom seismometers do detect whale calls — but that's incidental, not the basis for unification.</t>
        </is>
      </c>
      <c r="U21" s="4" t="inlineStr">
        <is>
          <t>✗ seismic noise and soundscape ecology are the same field</t>
        </is>
      </c>
      <c r="V21" s="3" t="n"/>
      <c r="W21" s="3" t="n"/>
      <c r="X21" s="3" t="n"/>
      <c r="Y21" s="3" t="n"/>
      <c r="Z21" s="3" t="n"/>
      <c r="AA21" s="3" t="n"/>
      <c r="AB21" s="3" t="n"/>
      <c r="AC21" s="3" t="n"/>
      <c r="AD21" s="9">
        <f>IFERROR((IFERROR(VALUE(V21),0)+IFERROR(VALUE(W21),0)+IFERROR(VALUE(X21),0)+IFERROR(VALUE(Y21),0)+IFERROR(VALUE(Z21),0)+IFERROR(VALUE(AA21),0)+IFERROR(VALUE(AB21),0)+IFERROR(VALUE(AC21),0))/(IF(ISNUMBER(V21),1,0)+IF(ISNUMBER(W21),1,0)+IF(ISNUMBER(X21),1,0)+IF(ISNUMBER(Y21),1,0)+IF(ISNUMBER(Z21),1,0)+IF(ISNUMBER(AA21),1,0)+IF(ISNUMBER(AB21),1,0)+IF(ISNUMBER(AC21),1,0)),"")</f>
        <v/>
      </c>
      <c r="AE21" s="3" t="n"/>
      <c r="AF21" s="3" t="n"/>
      <c r="AG21" s="3" t="n"/>
      <c r="AH21" s="3" t="n"/>
      <c r="AI21" s="3" t="n"/>
      <c r="AJ21" s="9">
        <f>IF(AND((IF(ISNUMBER(V21)+ISTEXT(V21),1,0)+IF(ISNUMBER(W21)+ISTEXT(W21),1,0)+IF(ISNUMBER(X21)+ISTEXT(X21),1,0)+IF(ISNUMBER(Y21)+ISTEXT(Y21),1,0)+IF(ISNUMBER(Z21)+ISTEXT(Z21),1,0)+IF(ISNUMBER(AA21)+ISTEXT(AA21),1,0)+IF(ISNUMBER(AB21)+ISTEXT(AB21),1,0)+IF(ISNUMBER(AC21)+ISTEXT(AC21),1,0))&gt;=4,IF(AE21&lt;&gt;"",1,0)=1),"COMPLETE",IF((IF(ISNUMBER(V21)+ISTEXT(V21),1,0)+IF(ISNUMBER(W21)+ISTEXT(W21),1,0)+IF(ISNUMBER(X21)+ISTEXT(X21),1,0)+IF(ISNUMBER(Y21)+ISTEXT(Y21),1,0)+IF(ISNUMBER(Z21)+ISTEXT(Z21),1,0)+IF(ISNUMBER(AA21)+ISTEXT(AA21),1,0)+IF(ISNUMBER(AB21)+ISTEXT(AB21),1,0)+IF(ISNUMBER(AC21)+ISTEXT(AC21),1,0))=0,"NOT STARTED","IN PROGRESS"))</f>
        <v/>
      </c>
    </row>
    <row r="22" ht="220" customHeight="1">
      <c r="A22" s="8" t="inlineStr">
        <is>
          <t>QA-EVAL-018</t>
        </is>
      </c>
      <c r="B22" s="4" t="inlineStr">
        <is>
          <t>draft</t>
        </is>
      </c>
      <c r="C22" s="8" t="inlineStr">
        <is>
          <t>gold</t>
        </is>
      </c>
      <c r="D22" s="4" t="inlineStr">
        <is>
          <t>hydrology, seismology, near_surface_geophysics</t>
        </is>
      </c>
      <c r="E22" s="4" t="inlineStr">
        <is>
          <t>joint-observation</t>
        </is>
      </c>
      <c r="F22" s="4" t="inlineStr">
        <is>
          <t>method-translation
data-availability-assessment
limitation-translation</t>
        </is>
      </c>
      <c r="G22" s="4" t="inlineStr">
        <is>
          <t>hydrology-seismology
hydrology-near_surface_geophysics
near_surface_geophysics-seismology</t>
        </is>
      </c>
      <c r="H22" s="4" t="n">
        <v>5</v>
      </c>
      <c r="I22" s="4" t="inlineStr">
        <is>
          <t>I want to monitor a small catchment's groundwater state in real time without relying solely on a sparse well network. What's the best multi-sensor joint-observation strategy — what do I get from seismic, electrical, and gravity methods, and how do I fuse them?</t>
        </is>
      </c>
      <c r="J22" s="4" t="inlineStr">
        <is>
          <t>none</t>
        </is>
      </c>
      <c r="K22" s="4" t="inlineStr"/>
      <c r="L22" s="4" t="inlineStr"/>
      <c r="M22" s="4" t="inlineStr">
        <is>
          <t>CC-hydro-S
CC-hydro-h
CC-nsg-resistivity
CC-nsg-gravity
CC-seismo-dvv</t>
        </is>
      </c>
      <c r="N22" s="4" t="inlineStr">
        <is>
          <t>MC-seismo-ambient-noise
MC-nsg-ERT
MC-nsg-gravity
MC-nsg-joint-inversion</t>
        </is>
      </c>
      <c r="O22" s="4" t="inlineStr">
        <is>
          <t>PD-aquifer-architecture</t>
        </is>
      </c>
      <c r="P22" s="4" t="inlineStr">
        <is>
          <t>TC-03
TC-08
TC-19</t>
        </is>
      </c>
      <c r="Q22" s="4" t="inlineStr"/>
      <c r="R22" s="4" t="inlineStr">
        <is>
          <t>different-regime</t>
        </is>
      </c>
      <c r="S22" s="4" t="inlineStr">
        <is>
          <t>missing-constraint
implausible-calibration
false-equivalence</t>
        </is>
      </c>
      <c r="T22" s="4" t="inlineStr">
        <is>
          <t>• Each method captures a different aspect: dv/v → integrated storage/saturation; ERT → spatial distribution; gravity → mass.
• TC-08 joint inversion is the operational fusion framework.
• Spatial scales mismatched: dv/v ≈ 100m–km; ERT 10–100 m; microgravity 10–100 m. Honest framing.
• Calibration: still need a small well network to anchor petrophysics (Archie's law).
• Concrete proposal: 3–5 wells + dense seismic array + monthly ERT + microgravity at fixed stations.</t>
        </is>
      </c>
      <c r="U22" s="4" t="inlineStr">
        <is>
          <t>✗ wells are not necessary if you have geophysics</t>
        </is>
      </c>
      <c r="V22" s="3" t="n"/>
      <c r="W22" s="3" t="n"/>
      <c r="X22" s="3" t="n"/>
      <c r="Y22" s="3" t="n"/>
      <c r="Z22" s="3" t="n"/>
      <c r="AA22" s="3" t="n"/>
      <c r="AB22" s="3" t="n"/>
      <c r="AC22" s="3" t="n"/>
      <c r="AD22" s="9">
        <f>IFERROR((IFERROR(VALUE(V22),0)+IFERROR(VALUE(W22),0)+IFERROR(VALUE(X22),0)+IFERROR(VALUE(Y22),0)+IFERROR(VALUE(Z22),0)+IFERROR(VALUE(AA22),0)+IFERROR(VALUE(AB22),0)+IFERROR(VALUE(AC22),0))/(IF(ISNUMBER(V22),1,0)+IF(ISNUMBER(W22),1,0)+IF(ISNUMBER(X22),1,0)+IF(ISNUMBER(Y22),1,0)+IF(ISNUMBER(Z22),1,0)+IF(ISNUMBER(AA22),1,0)+IF(ISNUMBER(AB22),1,0)+IF(ISNUMBER(AC22),1,0)),"")</f>
        <v/>
      </c>
      <c r="AE22" s="3" t="n"/>
      <c r="AF22" s="3" t="n"/>
      <c r="AG22" s="3" t="n"/>
      <c r="AH22" s="3" t="n"/>
      <c r="AI22" s="3" t="n"/>
      <c r="AJ22" s="9">
        <f>IF(AND((IF(ISNUMBER(V22)+ISTEXT(V22),1,0)+IF(ISNUMBER(W22)+ISTEXT(W22),1,0)+IF(ISNUMBER(X22)+ISTEXT(X22),1,0)+IF(ISNUMBER(Y22)+ISTEXT(Y22),1,0)+IF(ISNUMBER(Z22)+ISTEXT(Z22),1,0)+IF(ISNUMBER(AA22)+ISTEXT(AA22),1,0)+IF(ISNUMBER(AB22)+ISTEXT(AB22),1,0)+IF(ISNUMBER(AC22)+ISTEXT(AC22),1,0))&gt;=4,IF(AE22&lt;&gt;"",1,0)=1),"COMPLETE",IF((IF(ISNUMBER(V22)+ISTEXT(V22),1,0)+IF(ISNUMBER(W22)+ISTEXT(W22),1,0)+IF(ISNUMBER(X22)+ISTEXT(X22),1,0)+IF(ISNUMBER(Y22)+ISTEXT(Y22),1,0)+IF(ISNUMBER(Z22)+ISTEXT(Z22),1,0)+IF(ISNUMBER(AA22)+ISTEXT(AA22),1,0)+IF(ISNUMBER(AB22)+ISTEXT(AB22),1,0)+IF(ISNUMBER(AC22)+ISTEXT(AC22),1,0))=0,"NOT STARTED","IN PROGRESS"))</f>
        <v/>
      </c>
    </row>
  </sheetData>
  <conditionalFormatting sqref="V2:V22">
    <cfRule type="expression" priority="1" dxfId="0">
      <formula>AND(OR(V2=1,V2=2,V2=5),AE2="")</formula>
    </cfRule>
  </conditionalFormatting>
  <conditionalFormatting sqref="W2:W22">
    <cfRule type="expression" priority="2" dxfId="0">
      <formula>AND(OR(W2=1,W2=2,W2=5),AE2="")</formula>
    </cfRule>
  </conditionalFormatting>
  <conditionalFormatting sqref="X2:X22">
    <cfRule type="expression" priority="3" dxfId="0">
      <formula>AND(OR(X2=1,X2=2,X2=5),AE2="")</formula>
    </cfRule>
  </conditionalFormatting>
  <conditionalFormatting sqref="Y2:Y22">
    <cfRule type="expression" priority="4" dxfId="0">
      <formula>AND(OR(Y2=1,Y2=2,Y2=5),AE2="")</formula>
    </cfRule>
  </conditionalFormatting>
  <conditionalFormatting sqref="Z2:Z22">
    <cfRule type="expression" priority="5" dxfId="0">
      <formula>AND(OR(Z2=1,Z2=2,Z2=5),AE2="")</formula>
    </cfRule>
  </conditionalFormatting>
  <conditionalFormatting sqref="AA2:AA22">
    <cfRule type="expression" priority="6" dxfId="0">
      <formula>AND(OR(AA2=1,AA2=2,AA2=5),AE2="")</formula>
    </cfRule>
  </conditionalFormatting>
  <conditionalFormatting sqref="AB2:AB22">
    <cfRule type="expression" priority="7" dxfId="0">
      <formula>AND(OR(AB2=1,AB2=2,AB2=5),AE2="")</formula>
    </cfRule>
  </conditionalFormatting>
  <conditionalFormatting sqref="AC2:AC22">
    <cfRule type="expression" priority="8" dxfId="0">
      <formula>AND(OR(AC2=1,AC2=2,AC2=5),AE2="")</formula>
    </cfRule>
  </conditionalFormatting>
  <conditionalFormatting sqref="AJ2:AJ22">
    <cfRule type="cellIs" priority="9" operator="equal" dxfId="1">
      <formula>"COMPLETE"</formula>
    </cfRule>
  </conditionalFormatting>
  <dataValidations count="3">
    <dataValidation sqref="V2:V22 W2:W22 X2:X22 Y2:Y22 Z2:Z22 AA2:AA22 AB2:AB22 AC2:AC22" showDropDown="0" showInputMessage="0" showErrorMessage="0" allowBlank="1" errorTitle="Invalid score" type="list">
      <formula1>"1,2,3,4,5,N/A"</formula1>
    </dataValidation>
    <dataValidation sqref="AF2:AF22" showDropDown="0" showInputMessage="0" showErrorMessage="0" allowBlank="1" type="list">
      <formula1>"1,2,3,4,5"</formula1>
    </dataValidation>
    <dataValidation sqref="AH2:AH2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30" customWidth="1" min="3" max="3"/>
    <col width="30" customWidth="1" min="4" max="4"/>
    <col width="30" customWidth="1" min="5" max="5"/>
  </cols>
  <sheetData>
    <row r="1">
      <c r="A1" s="10" t="inlineStr">
        <is>
          <t>Scoring rubric — 8 criteria, 1-5 Likert</t>
        </is>
      </c>
    </row>
    <row r="3">
      <c r="A3" s="7" t="inlineStr">
        <is>
          <t>Criterion</t>
        </is>
      </c>
      <c r="B3" s="7" t="inlineStr">
        <is>
          <t>Definition</t>
        </is>
      </c>
      <c r="C3" s="7" t="inlineStr">
        <is>
          <t>1 - poor</t>
        </is>
      </c>
      <c r="D3" s="7" t="inlineStr">
        <is>
          <t>3 - acceptable</t>
        </is>
      </c>
      <c r="E3" s="7" t="inlineStr">
        <is>
          <t>5 - excellent</t>
        </is>
      </c>
    </row>
    <row r="4" ht="80" customHeight="1">
      <c r="A4" s="11" t="inlineStr">
        <is>
          <t>S1. Technical accuracy</t>
        </is>
      </c>
      <c r="B4" s="12" t="inlineStr">
        <is>
          <t>Are the factual claims in the answer correct?</t>
        </is>
      </c>
      <c r="C4" s="12" t="inlineStr">
        <is>
          <t>Wrong claim that would mislead.</t>
        </is>
      </c>
      <c r="D4" s="12" t="inlineStr">
        <is>
          <t>Mostly correct; minor inaccuracy.</t>
        </is>
      </c>
      <c r="E4" s="12" t="inlineStr">
        <is>
          <t>All claims correct; uncertainty quantified.</t>
        </is>
      </c>
    </row>
    <row r="5" ht="80" customHeight="1">
      <c r="A5" s="13" t="inlineStr">
        <is>
          <t>S2. Citation discipline</t>
        </is>
      </c>
      <c r="B5" s="14" t="inlineStr">
        <is>
          <t>Are cited works real, DOIs accurate, claims supported?</t>
        </is>
      </c>
      <c r="C5" s="14" t="inlineStr">
        <is>
          <t>Fabricated citation; hard fail.</t>
        </is>
      </c>
      <c r="D5" s="14" t="inlineStr">
        <is>
          <t>Citations real; coverage uneven.</t>
        </is>
      </c>
      <c r="E5" s="14" t="inlineStr">
        <is>
          <t>Every claim cited; coverage matches specificity.</t>
        </is>
      </c>
    </row>
    <row r="6" ht="80" customHeight="1">
      <c r="A6" s="11" t="inlineStr">
        <is>
          <t>S3. Vocabulary precision</t>
        </is>
      </c>
      <c r="B6" s="12" t="inlineStr">
        <is>
          <t>Discipline-specific language correct; vocabulary collisions handled?</t>
        </is>
      </c>
      <c r="C6" s="12" t="inlineStr">
        <is>
          <t>Vocabulary collision treated as equivalence.</t>
        </is>
      </c>
      <c r="D6" s="12" t="inlineStr">
        <is>
          <t>Language correct; collisions disambiguated when prompted.</t>
        </is>
      </c>
      <c r="E6" s="12" t="inlineStr">
        <is>
          <t>Language fully correct; collisions disambiguated up front.</t>
        </is>
      </c>
    </row>
    <row r="7" ht="80" customHeight="1">
      <c r="A7" s="13" t="inlineStr">
        <is>
          <t>S4. Cross-discipline integration (N/A single-disc)</t>
        </is>
      </c>
      <c r="B7" s="14" t="inlineStr">
        <is>
          <t>Does the answer correctly bridge disciplines?</t>
        </is>
      </c>
      <c r="C7" s="14" t="inlineStr">
        <is>
          <t>Forces analogy that fails scrutiny.</t>
        </is>
      </c>
      <c r="D7" s="14" t="inlineStr">
        <is>
          <t>Identifies bridge but doesn't exploit it.</t>
        </is>
      </c>
      <c r="E7" s="14" t="inlineStr">
        <is>
          <t>Right bridge; both sides worked through; flags failure modes.</t>
        </is>
      </c>
    </row>
    <row r="8" ht="80" customHeight="1">
      <c r="A8" s="11" t="inlineStr">
        <is>
          <t>S5. Refusal correctness (N/A no refusal opportunity)</t>
        </is>
      </c>
      <c r="B8" s="12" t="inlineStr">
        <is>
          <t>Does the chatbot refuse forced analogies/fabrications?</t>
        </is>
      </c>
      <c r="C8" s="12" t="inlineStr">
        <is>
          <t>Failed to refuse; fabricated citation.</t>
        </is>
      </c>
      <c r="D8" s="12" t="inlineStr">
        <is>
          <t>Hedged but didn't name the pattern.</t>
        </is>
      </c>
      <c r="E8" s="12" t="inlineStr">
        <is>
          <t>Cleanly refused with named pattern + alternative.</t>
        </is>
      </c>
    </row>
    <row r="9" ht="80" customHeight="1">
      <c r="A9" s="13" t="inlineStr">
        <is>
          <t>S6. Completeness</t>
        </is>
      </c>
      <c r="B9" s="14" t="inlineStr">
        <is>
          <t>Address what was asked? Important parts missing?</t>
        </is>
      </c>
      <c r="C9" s="14" t="inlineStr">
        <is>
          <t>Major aspects unaddressed.</t>
        </is>
      </c>
      <c r="D9" s="14" t="inlineStr">
        <is>
          <t>Main question addressed; peripheral missing.</t>
        </is>
      </c>
      <c r="E9" s="14" t="inlineStr">
        <is>
          <t>All aspects addressed.</t>
        </is>
      </c>
    </row>
    <row r="10" ht="80" customHeight="1">
      <c r="A10" s="11" t="inlineStr">
        <is>
          <t>S7. Presentation</t>
        </is>
      </c>
      <c r="B10" s="12" t="inlineStr">
        <is>
          <t>Clarity, structure, technical level.</t>
        </is>
      </c>
      <c r="C10" s="12" t="inlineStr">
        <is>
          <t>Disorganized; over- or under-technical.</t>
        </is>
      </c>
      <c r="D10" s="12" t="inlineStr">
        <is>
          <t>Reasonably structured.</t>
        </is>
      </c>
      <c r="E10" s="12" t="inlineStr">
        <is>
          <t>Well-structured; technical level correct.</t>
        </is>
      </c>
    </row>
    <row r="11" ht="80" customHeight="1">
      <c r="A11" s="13" t="inlineStr">
        <is>
          <t>S8. Overall usefulness</t>
        </is>
      </c>
      <c r="B11" s="14" t="inlineStr">
        <is>
          <t>Holistic judgment: would a researcher find this helpful?</t>
        </is>
      </c>
      <c r="C11" s="14" t="inlineStr">
        <is>
          <t>Not useful; would mislead.</t>
        </is>
      </c>
      <c r="D11" s="14" t="inlineStr">
        <is>
          <t>Useful as starting point; need to verify.</t>
        </is>
      </c>
      <c r="E11" s="14" t="inlineStr">
        <is>
          <t>Directly useful; would quote in own work.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</cols>
  <sheetData>
    <row r="1">
      <c r="A1" s="10" t="inlineStr">
        <is>
          <t>Your scoring progress</t>
        </is>
      </c>
    </row>
    <row r="2">
      <c r="A2" s="2" t="inlineStr">
        <is>
          <t>Total QAs</t>
        </is>
      </c>
      <c r="B2" s="15">
        <f>COUNTA(QAs!A2:A22)</f>
        <v/>
      </c>
    </row>
    <row r="3">
      <c r="A3" s="2" t="inlineStr">
        <is>
          <t>Complete</t>
        </is>
      </c>
      <c r="B3" s="15">
        <f>COUNTIF(QAs!AJ2:AJ22,"COMPLETE")</f>
        <v/>
      </c>
    </row>
    <row r="4">
      <c r="A4" s="2" t="inlineStr">
        <is>
          <t>In progress</t>
        </is>
      </c>
      <c r="B4" s="15">
        <f>COUNTIF(QAs!AJ2:AJ22,"IN PROGRESS")</f>
        <v/>
      </c>
    </row>
    <row r="5">
      <c r="A5" s="2" t="inlineStr">
        <is>
          <t>Not started</t>
        </is>
      </c>
      <c r="B5" s="15">
        <f>COUNTIF(QAs!AJ2:AJ22,"NOT STARTED")</f>
        <v/>
      </c>
    </row>
    <row r="6">
      <c r="A6" s="2" t="inlineStr">
        <is>
          <t>Percent complete</t>
        </is>
      </c>
      <c r="B6" s="16">
        <f>IFERROR(B3/B2,0)</f>
        <v/>
      </c>
    </row>
    <row r="7">
      <c r="A7" s="2" t="inlineStr">
        <is>
          <t>Mean score across complete</t>
        </is>
      </c>
      <c r="B7" s="17">
        <f>IFERROR(AVERAGEIF(QAs!AJ2:AJ22,"COMPLETE",QAs!AD2:AD22),"")</f>
        <v/>
      </c>
    </row>
    <row r="8">
      <c r="A8" s="2" t="inlineStr">
        <is>
          <t>Mean time per QA (min)</t>
        </is>
      </c>
      <c r="B8" s="18">
        <f>IFERROR(AVERAGEIF(QAs!AJ2:AJ22,"COMPLETE",QAs!AI2:AI22),"")</f>
        <v/>
      </c>
    </row>
    <row r="9">
      <c r="A9" s="2" t="inlineStr">
        <is>
          <t>Flagged for discussion</t>
        </is>
      </c>
      <c r="B9" s="15">
        <f>COUNTIF(QAs!AH2:AH22,"Y")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2026-05-15T12:55:48Z</dcterms:created>
  <dcterms:modified xmlns:dcterms="http://purl.org/dc/terms/" xmlns:xsi="http://www.w3.org/2001/XMLSchema-instance" xsi:type="dcterms:W3CDTF">2026-05-15T12:55:48Z</dcterms:modified>
</cp:coreProperties>
</file>