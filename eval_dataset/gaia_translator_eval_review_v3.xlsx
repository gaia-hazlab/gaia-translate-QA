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As" sheetId="2" state="visible" r:id="rId4"/>
    <sheet name="Rubric" sheetId="3" state="visible" r:id="rId5"/>
    <sheet name="Progres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<sst xmlns="http://schemas.openxmlformats.org/spreadsheetml/2006/main" count="354" uniqueCount="287">
  <si>
    <t xml:space="preserve">Gaia translator — v3 eval review</t>
  </si>
  <si>
    <t xml:space="preserve">Reviewer name</t>
  </si>
  <si>
    <t xml:space="preserve">(your name)</t>
  </si>
  <si>
    <t xml:space="preserve">Primary discipline</t>
  </si>
  <si>
    <t xml:space="preserve">(your primary)</t>
  </si>
  <si>
    <t xml:space="preserve">Total QAs assigned</t>
  </si>
  <si>
    <t xml:space="preserve">Calibration round deadline</t>
  </si>
  <si>
    <t xml:space="preserve">(yyyy-mm-dd)</t>
  </si>
  <si>
    <t xml:space="preserve">Production scoring deadline</t>
  </si>
  <si>
    <t xml:space="preserve">How this sheet works</t>
  </si>
  <si>
    <t xml:space="preserve">Each row in the 'QAs' tab is one QA. Columns A-N describe the QA. Columns starting with 'S1...S8' are score inputs (1-5, leave blank if you can't judge).</t>
  </si>
  <si>
    <t xml:space="preserve">Blue text = your input. Type scores and comments here.</t>
  </si>
  <si>
    <t xml:space="preserve">Black text = formula (don't edit).</t>
  </si>
  <si>
    <t xml:space="preserve">Yellow cells = mandatory comment if score is ≤2 or ≥5.</t>
  </si>
  <si>
    <t xml:space="preserve">Eval set stats:</t>
  </si>
  <si>
    <t xml:space="preserve">  Total QAs: 21</t>
  </si>
  <si>
    <t xml:space="preserve">  By query type: {'integration': 5, 'vocabulary-disambiguation': 3, 'joint-observation': 2, 'paper-interpretation': 9, 'refusal-test': 2}</t>
  </si>
  <si>
    <t xml:space="preserve">  By difficulty: {'3': 9, '2': 2, '4': 8, '5': 2}</t>
  </si>
  <si>
    <t xml:space="preserve">  By discipline: {'seismology': 10, 'geotechnical_engineering': 6, 'hydrology': 8, 'geomorphology': 3, 'atmospheric_sciences': 2, 'ecology': 3, 'agricultural_sciences': 2, 'near_surface_geophysics': 3}</t>
  </si>
  <si>
    <t xml:space="preserve">  By disc-span:  {'2': 8, '1': 9, '3': 4}</t>
  </si>
  <si>
    <t xml:space="preserve">See eval_platform/templates/reviewer_instructions.docx for the full rubric and review process.</t>
  </si>
  <si>
    <t xml:space="preserve">QA_ID</t>
  </si>
  <si>
    <t xml:space="preserve">Status</t>
  </si>
  <si>
    <t xml:space="preserve">Disciplines</t>
  </si>
  <si>
    <t xml:space="preserve">Query type</t>
  </si>
  <si>
    <t xml:space="preserve">Difficulty</t>
  </si>
  <si>
    <t xml:space="preserve">Prompt</t>
  </si>
  <si>
    <t xml:space="preserve">Doc type</t>
  </si>
  <si>
    <t xml:space="preserve">Doc source</t>
  </si>
  <si>
    <t xml:space="preserve">Doc title</t>
  </si>
  <si>
    <t xml:space="preserve">Expected concept_matches</t>
  </si>
  <si>
    <t xml:space="preserve">Expected method_matches</t>
  </si>
  <si>
    <t xml:space="preserve">Expected phenomenon_matches</t>
  </si>
  <si>
    <t xml:space="preserve">Expected translation_matches</t>
  </si>
  <si>
    <t xml:space="preserve">Expected vocab collisions</t>
  </si>
  <si>
    <t xml:space="preserve">Expected refusals</t>
  </si>
  <si>
    <t xml:space="preserve">Expected response themes</t>
  </si>
  <si>
    <t xml:space="preserve">Must not say</t>
  </si>
  <si>
    <t xml:space="preserve">S1 Tech accuracy</t>
  </si>
  <si>
    <t xml:space="preserve">S2 Citation discipline</t>
  </si>
  <si>
    <t xml:space="preserve">S3 Vocab precision</t>
  </si>
  <si>
    <t xml:space="preserve">S4 Cross-disc integration</t>
  </si>
  <si>
    <t xml:space="preserve">S5 Refusal correctness</t>
  </si>
  <si>
    <t xml:space="preserve">S6 Completeness</t>
  </si>
  <si>
    <t xml:space="preserve">S7 Presentation</t>
  </si>
  <si>
    <t xml:space="preserve">S8 Overall usefulness</t>
  </si>
  <si>
    <t xml:space="preserve">Mean score (auto)</t>
  </si>
  <si>
    <t xml:space="preserve">Overall comment (REQUIRED)</t>
  </si>
  <si>
    <t xml:space="preserve">Confidence (1-5)</t>
  </si>
  <si>
    <t xml:space="preserve">Skill files to revise</t>
  </si>
  <si>
    <t xml:space="preserve">Flag for discussion (Y/N)</t>
  </si>
  <si>
    <t xml:space="preserve">Time to score (min)</t>
  </si>
  <si>
    <t xml:space="preserve">Status (auto)</t>
  </si>
  <si>
    <t xml:space="preserve">QA-CAL-001</t>
  </si>
  <si>
    <t xml:space="preserve">approved</t>
  </si>
  <si>
    <t xml:space="preserve">seismology, geotechnical_engineering</t>
  </si>
  <si>
    <t xml:space="preserve">integration</t>
  </si>
  <si>
    <t xml:space="preserve">I just read Boulanger &amp; Idriss (2014) on CPT and SPT liquefaction-triggering procedures. I'm a seismologist working on the Nisqually basin and I want to understand how this connects to my work on Vs30 and ambient-noise dv/v. What should I take away?</t>
  </si>
  <si>
    <t xml:space="preserve">none</t>
  </si>
  <si>
    <t xml:space="preserve">CC-geotech-CSR-CRR
CC-seismo-Vs
CC-geotech-G-Gmax</t>
  </si>
  <si>
    <t xml:space="preserve">MC-geotech-CPT
MC-seismo-MASW
MC-geotech-GMPE</t>
  </si>
  <si>
    <t xml:space="preserve">PD-liquefaction
PD-site-response</t>
  </si>
  <si>
    <t xml:space="preserve">TC-10
TC-12
TC-02</t>
  </si>
  <si>
    <t xml:space="preserve">• Explains that a_max from NGA-West2 (the user's GMPE work) feeds CSR directly.
• Explains the Vs1 → CRR Andrus-Stokoe link in the upper 30 m, citing the depth-regime issue (TC-12).
• Distinguishes coseismic dv/v (G/Gmax transient via TC-10) from pre-event triggering.
• Proposes joint MASW + ambient-noise tomography + CPT-Vs as the cross-discipline next step.
• Cites Boulanger &amp; Idriss correctly without fabricating other references.</t>
  </si>
  <si>
    <t xml:space="preserve">✗ ambient-noise dv/v can replace CPT for liquefaction triggering
✗ linear-elastic site response captures G/Gmax reduction at strong ground motion</t>
  </si>
  <si>
    <t xml:space="preserve">QA-CAL-002</t>
  </si>
  <si>
    <t xml:space="preserve">seismology, hydrology</t>
  </si>
  <si>
    <t xml:space="preserve">vocabulary-disambiguation</t>
  </si>
  <si>
    <t xml:space="preserve">Can seismic attenuation Q tell me about streamflow Q in a watershed? They have the same symbol, so there should be some kind of relation I can exploit. What papers explore this?</t>
  </si>
  <si>
    <t xml:space="preserve">CC-seismo-Q
CC-hydro-Q</t>
  </si>
  <si>
    <t xml:space="preserve">TC-03</t>
  </si>
  <si>
    <t xml:space="preserve">Q</t>
  </si>
  <si>
    <t xml:space="preserve">vocabulary-collision, fabrication-prevention</t>
  </si>
  <si>
    <t xml:space="preserve">• Refuses to assert a physical relation between seismic Q and streamflow Q.
• Defines each Q distinctly with units (dimensionless vs. m³/s).
• Refuses to fabricate citations to support a non-existent relation.
• Offers a constructive alternative: TC-03 (dv/v as a real hydrology bridge through poroelasticity).</t>
  </si>
  <si>
    <t xml:space="preserve">✗ the Q-Q theorem
✗ Smith et al. 2019 Journal of Hydrological Geophysics
✗ wetter sediments have higher attenuation, so streamflow Q correlates with seismic Q</t>
  </si>
  <si>
    <t xml:space="preserve">QA-CAL-003</t>
  </si>
  <si>
    <t xml:space="preserve">joint-observation</t>
  </si>
  <si>
    <t xml:space="preserve">Can I replace groundwater-monitoring well networks in California with ambient seismic noise dv/v? I'm building a proposal to deploy dense seismic arrays in the Central Valley and I want to claim dv/v as a hydrology product.</t>
  </si>
  <si>
    <t xml:space="preserve">CC-seismo-dvv
CC-hydro-h
CC-hydro-S</t>
  </si>
  <si>
    <t xml:space="preserve">MC-seismo-ambient-noise
MC-hydro-NWIS</t>
  </si>
  <si>
    <t xml:space="preserve">PD-aquifer-depletion</t>
  </si>
  <si>
    <t xml:space="preserve">different-regime</t>
  </si>
  <si>
    <t xml:space="preserve">• Hedges 'replace' to 'complement' — dv/v cannot fully replace wells at Central Valley scale.
• Calibration is site-specific: dv/v → hydrologic state requires local petrophysics.
• Thermoelastic and source-distribution effects must be separated (Hillers et al. 2015).
• Vertical resolution is coarse: dv/v at 0.5–5 Hz integrates over tens of meters.
• Concrete recommendation: dense seismic deployment + a strategically retained well subset.</t>
  </si>
  <si>
    <t xml:space="preserve">✗ dv/v can fully replace groundwater monitoring wells</t>
  </si>
  <si>
    <t xml:space="preserve">QA-EVAL-001</t>
  </si>
  <si>
    <t xml:space="preserve">draft</t>
  </si>
  <si>
    <t xml:space="preserve">hydrology</t>
  </si>
  <si>
    <t xml:space="preserve">paper-interpretation</t>
  </si>
  <si>
    <t xml:space="preserve">I just read Famiglietti (2014) 'The global groundwater crisis' in Nature Climate Change. I'm an atmospheric-sciences PhD candidate. What's the essential physics and what should I take away for my own work on climate projections?</t>
  </si>
  <si>
    <t xml:space="preserve">Famiglietti 2014 (cited but not attached)</t>
  </si>
  <si>
    <t xml:space="preserve">CC-hydro-S
CC-hydro-recharge
CC-hydro-h</t>
  </si>
  <si>
    <t xml:space="preserve">MC-hydro-GRACE
MC-hydro-NWIS</t>
  </si>
  <si>
    <t xml:space="preserve">PD-aquifer-depletion
PD-drought</t>
  </si>
  <si>
    <t xml:space="preserve">TC-06
TC-18</t>
  </si>
  <si>
    <t xml:space="preserve">• Explains storage anomaly (S × Δh) as the core observable from GRACE.
• Distinguishes inelastic storage loss (permanent) from elastic Sₛ.
• Connects to atmospheric forcing: precipitation deficits + irrigation demand both modify storage.
• Implications for climate projections: groundwater contribution to sea-level rise (Konikow 2011).
• Cites Famiglietti and Konikow without fabricating other references.</t>
  </si>
  <si>
    <t xml:space="preserve">QA-EVAL-002</t>
  </si>
  <si>
    <t xml:space="preserve">seismology</t>
  </si>
  <si>
    <t xml:space="preserve">I'm an ecologist who just read Brenguier et al. (2008) 'Postseismic relaxation along the San Andreas fault at Parkfield from continuous seismological observations' in Science. I don't know seismology — what's the essential physics, and is there anything in this paper relevant to ambient-acoustic monitoring in ecology?</t>
  </si>
  <si>
    <t xml:space="preserve">Brenguier et al. 2008 (cited but not attached)</t>
  </si>
  <si>
    <t xml:space="preserve">CC-seismo-dvv
CC-seismo-noise</t>
  </si>
  <si>
    <t xml:space="preserve">MC-seismo-ambient-noise</t>
  </si>
  <si>
    <t xml:space="preserve">noise</t>
  </si>
  <si>
    <t xml:space="preserve">• Explains dv/v as fractional velocity change from coda-wave interferometry.
• Distinguishes 'ambient noise' in seismology (the signal!) from acoustic ambient in ecology (vocabulary collision).
• Notes the postseismic-relaxation timescale (months) is a seismology observable, not directly ecological.
• Honestly states: minimal direct relevance to ecology bioacoustics; shared signal-processing techniques exist.
• Suggests TC-03 if ecologist is interested in the hydrology-seismology bridge.</t>
  </si>
  <si>
    <t xml:space="preserve">✗ seismic dv/v is the same as bioacoustic ambient monitoring</t>
  </si>
  <si>
    <t xml:space="preserve">QA-EVAL-003</t>
  </si>
  <si>
    <t xml:space="preserve">geotechnical_engineering</t>
  </si>
  <si>
    <t xml:space="preserve">I'm a geomorphologist who studies landslides. I just read Iverson (2000) 'Landslide triggering by rain infiltration' WRR. The hydrology and the geomechanics blur together. Can you separate them for me — what's the geotech engineering content vs. the hydrology content?</t>
  </si>
  <si>
    <t xml:space="preserve">Iverson 2000 WRR (cited)</t>
  </si>
  <si>
    <t xml:space="preserve">CC-geotech-MohrCoulomb
CC-geotech-PorePressure
CC-geotech-FS
CC-hydro-p</t>
  </si>
  <si>
    <t xml:space="preserve">PD-AR-landslide</t>
  </si>
  <si>
    <t xml:space="preserve">TC-02
TC-11</t>
  </si>
  <si>
    <t xml:space="preserve">• Geotech content: Mohr-Coulomb failure criterion and transient FS calculation.
• Hydrology content: pore-pressure diffusion through the unsaturated zone.
• The bridge: TC-02 effective stress; pore pressure modifies σ' and FS.
• Geomorphic application: TC-11 — same equation, natural-hillslope boundary conditions.
• Cites Iverson 2000 specifically without fabricating others.</t>
  </si>
  <si>
    <t xml:space="preserve">QA-EVAL-004</t>
  </si>
  <si>
    <t xml:space="preserve">geomorphology</t>
  </si>
  <si>
    <t xml:space="preserve">I'm a hydrologist reading Roering et al. (1999) 'Evidence for nonlinear, diffusive sediment transport on hillslopes' WRR. The math looks like the diffusion equations I use, but the rates are very different. Help me make the bridge.</t>
  </si>
  <si>
    <t xml:space="preserve">Roering et al. 1999 WRR (cited)</t>
  </si>
  <si>
    <t xml:space="preserve">CC-geomorph-D
CC-hydro-D
CC-geomorph-erosion-rate</t>
  </si>
  <si>
    <t xml:space="preserve">TC-01</t>
  </si>
  <si>
    <t xml:space="preserve">diffusivity</t>
  </si>
  <si>
    <t xml:space="preserve">• TC-01 is the bridge: the same diffusion equation governs both.
• Hydraulic D (m²/s) vs. hillslope κ (m²/yr) — ~10¹⁰× scale difference.
• Linear form breaks at slope angle near angle of repose (Roering nonlinear).
• Cosmogenic isotope work anchors the long-term erosion rate (timescale 10³–10⁵ yr).
• Honestly states: the equation is the same; the substrate physics and timescales are different.</t>
  </si>
  <si>
    <t xml:space="preserve">✗ hydraulic and hillslope diffusion have the same diffusivity</t>
  </si>
  <si>
    <t xml:space="preserve">QA-EVAL-005</t>
  </si>
  <si>
    <t xml:space="preserve">atmospheric_sciences</t>
  </si>
  <si>
    <t xml:space="preserve">I'm a geotechnical engineer who just read Ralph et al. (2019) on the AR Scale. What are the key atmospheric variables, and which of them matter for dam and levee safety?</t>
  </si>
  <si>
    <t xml:space="preserve">Ralph et al. 2019 BAMS</t>
  </si>
  <si>
    <t xml:space="preserve">CC-atm-IVT
CC-atm-precip
CC-atm-q</t>
  </si>
  <si>
    <t xml:space="preserve">MC-atm-GPM
MC-atm-ERA5</t>
  </si>
  <si>
    <t xml:space="preserve">PD-atmospheric-river
PD-dam-levee-safety</t>
  </si>
  <si>
    <t xml:space="preserve">TC-15</t>
  </si>
  <si>
    <t xml:space="preserve">• Defines IVT (kg/m/s) as the AR-Scale categorization variable.
• AR-Scale 1–5 by peak IVT + duration; AR-5 events are the design-storm regime.
• Geotech relevance: AR precipitation drives embankment pore-pressure rise.
• Climate-change intensification (TC-15) means historical PMP / PMF need revisiting.
• Cites Ralph et al. 2019 correctly.</t>
  </si>
  <si>
    <t xml:space="preserve">QA-EVAL-006</t>
  </si>
  <si>
    <t xml:space="preserve">ecology</t>
  </si>
  <si>
    <t xml:space="preserve">I'm a hydrologist who just read Allen et al. (2010) on global drought-induced tree mortality (Forest Ecology and Management). The mechanisms section talks about hydraulic failure and carbon starvation. How does that connect to my soil-moisture and ET observations?</t>
  </si>
  <si>
    <t xml:space="preserve">Allen et al. 2010</t>
  </si>
  <si>
    <t xml:space="preserve">CC-eco-GPP
CC-hydro-ET
CC-atm-q</t>
  </si>
  <si>
    <t xml:space="preserve">MC-eco-eddycov
MC-hydro-SMAP</t>
  </si>
  <si>
    <t xml:space="preserve">PD-forest-mortality
PD-flash-drought</t>
  </si>
  <si>
    <t xml:space="preserve">TC-16</t>
  </si>
  <si>
    <t xml:space="preserve">• Hydraulic failure: xylem cavitation under sustained low water potential — connects to SMAP root-zone moisture observations.
• Carbon starvation: stomatal closure terminates photosynthesis; eddy covariance shows GPP collapse.
• TC-16 is the bridge: ET and GPP share stomatal conductance at the leaf.
• Soil-moisture observations are the leading indicator if you have the right depth resolution.
• Concrete suggestion: pair MC-hydro-SMAP with FLUXNET towers in your study basin.</t>
  </si>
  <si>
    <t xml:space="preserve">QA-EVAL-007</t>
  </si>
  <si>
    <t xml:space="preserve">agricultural_sciences</t>
  </si>
  <si>
    <t xml:space="preserve">I'm a seismologist who reads about California seasonal-seismicity studies (Johnson et al. 2017 in Science). I want to understand the agricultural side: how big is the irrigation withdrawal that's loading the crust, and where does that water come from?</t>
  </si>
  <si>
    <t xml:space="preserve">Johnson et al. 2017</t>
  </si>
  <si>
    <t xml:space="preserve">CC-ag-irrigation-demand
CC-hydro-recharge</t>
  </si>
  <si>
    <t xml:space="preserve">MC-hydro-GRACE
MC-ag-NASS-CDL</t>
  </si>
  <si>
    <t xml:space="preserve">PD-aquifer-depletion
PD-subsidence-consolidation</t>
  </si>
  <si>
    <t xml:space="preserve">TC-18</t>
  </si>
  <si>
    <t xml:space="preserve">• California Central Valley irrigation: ~10–20 km³/yr pumping, exceeds recharge in dry years.
• Source: groundwater + surface (State Water Project + Central Valley Project).
• Loading mechanism: aquifer mass change directly modulates surface elastic load.
• Johnson et al. 2017 documents seasonal seismicity correlating with seasonal storage cycle.
• Cites Faunt 2016 for the consolidation/subsidence side.</t>
  </si>
  <si>
    <t xml:space="preserve">QA-EVAL-008</t>
  </si>
  <si>
    <t xml:space="preserve">near_surface_geophysics</t>
  </si>
  <si>
    <t xml:space="preserve">I'm a hydrology researcher reading Minsley et al. (2021) on the USGS Mississippi Embayment AEM survey (Scientific Reports). The geophysics methods are unfamiliar. How do I read a σ map as a hydrologist?</t>
  </si>
  <si>
    <t xml:space="preserve">Minsley et al. 2021</t>
  </si>
  <si>
    <t xml:space="preserve">CC-nsg-resistivity
CC-nsg-EM-conductivity
CC-hydro-K</t>
  </si>
  <si>
    <t xml:space="preserve">MC-nsg-AEM
MC-nsg-ERT</t>
  </si>
  <si>
    <t xml:space="preserve">PD-aquifer-architecture</t>
  </si>
  <si>
    <t xml:space="preserve">TC-08</t>
  </si>
  <si>
    <t xml:space="preserve">• Archie's law is the petrophysical bridge: σ depends on porosity, saturation, fluid conductivity.
• Low σ in saline aquifers vs. high σ in clay-bearing aquitards — the architecture distinction.
• AEM resolves 100–400 m depth at 50–200 m line spacing — regional scale.
• Near-surface (&lt;10 m) resolution is poor; complement with ground ERT or wells.
• Honest caveat: σ → K conversion requires petrophysical calibration with local well data.</t>
  </si>
  <si>
    <t xml:space="preserve">QA-EVAL-009</t>
  </si>
  <si>
    <t xml:space="preserve">I'm an atmospheric scientist working on AR climatology. I just read Burtin et al. (2008) JGR on seismic noise from bedload transport. Walk me through the physics — what does this tell me about coupling between ARs, river discharge, and bedload?</t>
  </si>
  <si>
    <t xml:space="preserve">Burtin et al. 2008</t>
  </si>
  <si>
    <t xml:space="preserve">CC-seismo-noise
CC-geomorph-Qs
CC-geomorph-streampower
CC-hydro-Q</t>
  </si>
  <si>
    <t xml:space="preserve">MC-seismo-broadband
MC-geomorph-sediment-monitoring</t>
  </si>
  <si>
    <t xml:space="preserve">PD-river-floods
PD-atmospheric-river</t>
  </si>
  <si>
    <t xml:space="preserve">TC-14
TC-15</t>
  </si>
  <si>
    <t xml:space="preserve">• Bedload transport produces broadband seismic noise (1–100 Hz) as grains impact bed.
• TC-14 is the bridge: passive seismic monitoring of bedload — continuous, non-intrusive.
• AR connection: AR-driven storms → high Q → high bedload → high seismic noise. The same atmospheric forcing modulates all three.
• TC-15 (Clausius-Clapeyron) intensification means more bedload-driven seismic signal in a warming climate.
• Suggests joint AR-precipitation + streamflow + seismic-noise time series at instrumented basins.</t>
  </si>
  <si>
    <t xml:space="preserve">QA-EVAL-010</t>
  </si>
  <si>
    <t xml:space="preserve">hydrology, seismology</t>
  </si>
  <si>
    <t xml:space="preserve">I work on aquifer-recharge modeling. How does my work connect to seismology? Are there real, mechanistic bridges or just statistical correlations?</t>
  </si>
  <si>
    <t xml:space="preserve">CC-hydro-p
CC-hydro-D
CC-seismo-stress</t>
  </si>
  <si>
    <t xml:space="preserve">PD-induced-seismicity
PD-eq-hydro-coupling</t>
  </si>
  <si>
    <t xml:space="preserve">TC-02
TC-03</t>
  </si>
  <si>
    <t xml:space="preserve">• TC-02 effective stress: mechanistic bridge, not statistical.
• Hydraulic diffusion D maps to fault-pressure diffusion (PD-induced-seismicity r²/t analysis).
• TC-03 dv/v: ambient seismic noise tracks groundwater storage changes.
• Two productive next steps: induced-seismicity literature (Ellsworth 2013), dv/v in your basin (Clements &amp; Denolle 2018).
• Refuses to assert spurious correlations not grounded in TC-02 / TC-03.</t>
  </si>
  <si>
    <t xml:space="preserve">QA-EVAL-011</t>
  </si>
  <si>
    <t xml:space="preserve">geomorphology, ecology, atmospheric_sciences</t>
  </si>
  <si>
    <t xml:space="preserve">I'm interested in modeling post-fire debris-flow hazard under climate change. I'd need to integrate atmospheric (precip), ecological (vegetation recovery), and geomorphic (sediment) processes. What bridges exist between these three?</t>
  </si>
  <si>
    <t xml:space="preserve">CC-eco-root-cohesion
CC-atm-precip
CC-geomorph-Qs</t>
  </si>
  <si>
    <t xml:space="preserve">MC-geomorph-debris-flow-modeling</t>
  </si>
  <si>
    <t xml:space="preserve">PD-post-fire-erosion
PD-debris-flow
PD-fire-recovery</t>
  </si>
  <si>
    <t xml:space="preserve">TC-11
TC-13
TC-15</t>
  </si>
  <si>
    <t xml:space="preserve">• Three coupled mechanisms: root-cohesion decay (eco), runoff intensification (hydro/atm), sediment yield amplification (geomorph).
• TC-15: climate-driven precipitation intensification ↔ post-fire erosion window.
• TC-11: root-cohesion contribution to natural-hillslope FS.
• Cannon et al. 2008 post-fire rainfall thresholds, derived in CA/CO, may not transfer to PNW.
• Suggests a coupled modeling stack: NWP precipitation → CLM/ELM vegetation → Landlab/D-Claw sediment.</t>
  </si>
  <si>
    <t xml:space="preserve">QA-EVAL-012</t>
  </si>
  <si>
    <t xml:space="preserve">geotechnical_engineering, hydrology, agricultural_sciences</t>
  </si>
  <si>
    <t xml:space="preserve">I'm proposing a multi-discipline study of California Central Valley land subsidence. I want to integrate the hydrology (pumping), agriculture (irrigation demand), and geotechnical engineering (consolidation). How do the three communities talk to each other, and what bridges are operational?</t>
  </si>
  <si>
    <t xml:space="preserve">CC-ag-irrigation-demand
CC-hydro-recharge
CC-geotech-cv
CC-geotech-MohrCoulomb</t>
  </si>
  <si>
    <t xml:space="preserve">MC-hydro-GRACE
MC-geomorph-InSAR</t>
  </si>
  <si>
    <t xml:space="preserve">TC-02
TC-13
TC-18</t>
  </si>
  <si>
    <t xml:space="preserve">• TC-02 effective stress is the deep bridge; pumping → reduced p → increased σ' → consolidation.
• Operational data: USGS NWIS wells + GRACE TWS + Sentinel-1 InSAR.
• Permanent storage loss (inelastic m_v) is the key non-reversible cost.
• Faunt 2016 documents 9 m cumulative subsidence; agricultural side is the driver.
• Suggests a digital-twin approach pairing hydrology, geotech, and InSAR.</t>
  </si>
  <si>
    <t xml:space="preserve">QA-EVAL-013</t>
  </si>
  <si>
    <t xml:space="preserve">seismology, near_surface_geophysics, geotechnical_engineering</t>
  </si>
  <si>
    <t xml:space="preserve">I'm a seismologist with regional tomography work in the PNW. How do my Vs models connect to the geotechnical site characterization that the Cascadia hazard community needs?</t>
  </si>
  <si>
    <t xml:space="preserve">CC-seismo-Vs
CC-geotech-G-Gmax</t>
  </si>
  <si>
    <t xml:space="preserve">MC-seismo-tomography
MC-seismo-MASW
MC-geotech-CPT</t>
  </si>
  <si>
    <t xml:space="preserve">PD-site-response
PD-liquefaction</t>
  </si>
  <si>
    <t xml:space="preserve">TC-12
TC-10</t>
  </si>
  <si>
    <t xml:space="preserve">• TC-12 is the depth-regime bridge: tomography 0.1-10 km, MASW 5-50 m, borehole 0-30 m.
• Vs30 derived from the upper-30-m portion of the seismologist's profile.
• TC-10: linear seismology gives the elastic Vs; engineering site response needs G/Gmax nonlinearity.
• Joint inversion (TC-08) combining seismology + geotech bridges the 'missing middle' 50 m - 1 km.
• Operational next step: MASW or seismic CPT at sites where tomography under-resolves the upper 100 m.</t>
  </si>
  <si>
    <t xml:space="preserve">QA-EVAL-014</t>
  </si>
  <si>
    <t xml:space="preserve">hydrology, geotechnical_engineering</t>
  </si>
  <si>
    <t xml:space="preserve">I'm reading a hydrogeology paper that uses 'permeability' and a geotechnical paper that uses 'permeability' — they seem to mean the same thing but I'm not sure. Are they the same?</t>
  </si>
  <si>
    <t xml:space="preserve">CC-hydro-K
CC-geotech-cv</t>
  </si>
  <si>
    <t xml:space="preserve">permeability</t>
  </si>
  <si>
    <t xml:space="preserve">• Yes, intrinsic permeability k [m²] is the same physical quantity in both.
• But hydrology often reports hydraulic conductivity K = kρg/μ [m/s]; not the same as k.
• Geotechnical c_v = k/(γ_w m_v) — k appears but coupled with mechanical compressibility.
• Bridge: TC-01 diffusion equation; same equation, different state variable (head vs. pressure).</t>
  </si>
  <si>
    <t xml:space="preserve">QA-EVAL-015</t>
  </si>
  <si>
    <t xml:space="preserve">geotechnical_engineering, seismology</t>
  </si>
  <si>
    <t xml:space="preserve">When my structural-engineering colleagues talk about 'stress,' do they mean the same thing as my seismologist friend who studies stress drop on faults?</t>
  </si>
  <si>
    <t xml:space="preserve">CC-geotech-MohrCoulomb
CC-seismo-stress</t>
  </si>
  <si>
    <t xml:space="preserve">TC-02</t>
  </si>
  <si>
    <t xml:space="preserve">stress</t>
  </si>
  <si>
    <t xml:space="preserve">• The same stress tensor formalism — but conventions differ.
• Geotech defaults: total stress σ vs. effective σ' = σ − p (Terzaghi).
• Seismology defaults: on a fault, σ_n and τ; stress drop Δσ = τ_initial − τ_final.
• Bridge: TC-02 — same Mohr-Coulomb equation on engineered soils and on faults.
• Practical implication: ambient-state stress is rarely what either reports.</t>
  </si>
  <si>
    <t xml:space="preserve">QA-EVAL-016</t>
  </si>
  <si>
    <t xml:space="preserve">refusal-test</t>
  </si>
  <si>
    <t xml:space="preserve">Both earthquake-magnitude distributions and flood-frequency distributions follow power laws. They must share the same underlying mechanism — what is it? Can I use Gutenberg-Richter machinery to predict flood return periods directly?</t>
  </si>
  <si>
    <t xml:space="preserve">CC-seismo-GR
CC-geomorph-flood-frequency</t>
  </si>
  <si>
    <t xml:space="preserve">TC-04</t>
  </si>
  <si>
    <t xml:space="preserve">forced-analogy, surface-power-law-collision</t>
  </si>
  <si>
    <t xml:space="preserve">• Refuses the forced analogy: power laws ≠ shared mechanism.
• Gutenberg-Richter from fault-system self-organized criticality.
• Flood frequency from extreme-precipitation × hydrologic response.
• Statistical machinery (EVT, return periods, completeness) is portable; mechanism is not.
• Concretely: use log-Pearson III (USGS Bulletin 17C) for floods, NOT b-value methodology.</t>
  </si>
  <si>
    <t xml:space="preserve">✗ share the same mechanism
✗ Gutenberg-Richter can predict flood return periods
✗ stress drop and discharge are statistically equivalent</t>
  </si>
  <si>
    <t xml:space="preserve">QA-EVAL-017</t>
  </si>
  <si>
    <t xml:space="preserve">ecology, seismology</t>
  </si>
  <si>
    <t xml:space="preserve">Both ambient seismic noise and soundscape ecology use 'noise' as their data. What's the connection between seismic noise studies and acoustic biodiversity monitoring? Are they really the same field?</t>
  </si>
  <si>
    <t xml:space="preserve">CC-seismo-noise</t>
  </si>
  <si>
    <t xml:space="preserve">MC-eco-PAM
MC-seismo-ambient-noise</t>
  </si>
  <si>
    <t xml:space="preserve">vocabulary-collision</t>
  </si>
  <si>
    <t xml:space="preserve">• Refuses to equate the two: same word, different physics.
• Seismic noise is elastic-wave ground motion (m/s); soundscape is acoustic pressure (Pa).
• Shared signal-processing techniques (spectral analysis, ML pickers) — but not shared substrate.
• Genuinely different fields, with separate publication and instrumentation communities.
• One small connection: marine ocean-bottom seismometers do detect whale calls — but that's incidental, not the basis for unification.</t>
  </si>
  <si>
    <t xml:space="preserve">✗ seismic noise and soundscape ecology are the same field</t>
  </si>
  <si>
    <t xml:space="preserve">QA-EVAL-018</t>
  </si>
  <si>
    <t xml:space="preserve">hydrology, seismology, near_surface_geophysics</t>
  </si>
  <si>
    <t xml:space="preserve">I want to monitor a small catchment's groundwater state in real time without relying solely on a sparse well network. What's the best multi-sensor joint-observation strategy — what do I get from seismic, electrical, and gravity methods, and how do I fuse them?</t>
  </si>
  <si>
    <t xml:space="preserve">CC-hydro-S
CC-hydro-h
CC-nsg-resistivity
CC-nsg-gravity
CC-seismo-dvv</t>
  </si>
  <si>
    <t xml:space="preserve">MC-seismo-ambient-noise
MC-nsg-ERT
MC-nsg-gravity
MC-nsg-joint-inversion</t>
  </si>
  <si>
    <t xml:space="preserve">TC-03
TC-08
TC-19</t>
  </si>
  <si>
    <t xml:space="preserve">• Each method captures a different aspect: dv/v → integrated storage/saturation; ERT → spatial distribution; gravity → mass.
• TC-08 joint inversion is the operational fusion framework.
• Spatial scales mismatched: dv/v ≈ 100m–km; ERT 10–100 m; microgravity 10–100 m. Honest framing.
• Calibration: still need a small well network to anchor petrophysics (Archie's law).
• Concrete proposal: 3–5 wells + dense seismic array + monthly ERT + microgravity at fixed stations.</t>
  </si>
  <si>
    <t xml:space="preserve">✗ wells are not necessary if you have geophysics</t>
  </si>
  <si>
    <t xml:space="preserve">Scoring rubric — 8 criteria, 1-5 Likert</t>
  </si>
  <si>
    <t xml:space="preserve">Criterion</t>
  </si>
  <si>
    <t xml:space="preserve">Definition</t>
  </si>
  <si>
    <t xml:space="preserve">1 - poor</t>
  </si>
  <si>
    <t xml:space="preserve">3 - acceptable</t>
  </si>
  <si>
    <t xml:space="preserve">5 - excellent</t>
  </si>
  <si>
    <t xml:space="preserve">S1. Technical accuracy</t>
  </si>
  <si>
    <t xml:space="preserve">Are the factual claims in the answer correct?</t>
  </si>
  <si>
    <t xml:space="preserve">Wrong claim that would mislead.</t>
  </si>
  <si>
    <t xml:space="preserve">Mostly correct; minor inaccuracy.</t>
  </si>
  <si>
    <t xml:space="preserve">All claims correct; uncertainty quantified.</t>
  </si>
  <si>
    <t xml:space="preserve">S2. Citation discipline</t>
  </si>
  <si>
    <t xml:space="preserve">Are cited works real, DOIs accurate, claims supported?</t>
  </si>
  <si>
    <t xml:space="preserve">Fabricated citation; hard fail.</t>
  </si>
  <si>
    <t xml:space="preserve">Citations real; coverage uneven.</t>
  </si>
  <si>
    <t xml:space="preserve">Every claim cited; coverage matches specificity.</t>
  </si>
  <si>
    <t xml:space="preserve">S3. Vocabulary precision</t>
  </si>
  <si>
    <t xml:space="preserve">Discipline-specific language correct; vocabulary collisions handled?</t>
  </si>
  <si>
    <t xml:space="preserve">Vocabulary collision treated as equivalence.</t>
  </si>
  <si>
    <t xml:space="preserve">Language correct; collisions disambiguated when prompted.</t>
  </si>
  <si>
    <t xml:space="preserve">Language fully correct; collisions disambiguated up front.</t>
  </si>
  <si>
    <t xml:space="preserve">S4. Cross-discipline integration (N/A single-disc)</t>
  </si>
  <si>
    <t xml:space="preserve">Does the answer correctly bridge disciplines?</t>
  </si>
  <si>
    <t xml:space="preserve">Forces analogy that fails scrutiny.</t>
  </si>
  <si>
    <t xml:space="preserve">Identifies bridge but doesn't exploit it.</t>
  </si>
  <si>
    <t xml:space="preserve">Right bridge; both sides worked through; flags failure modes.</t>
  </si>
  <si>
    <t xml:space="preserve">S5. Refusal correctness (N/A no refusal opportunity)</t>
  </si>
  <si>
    <t xml:space="preserve">Does the chatbot refuse forced analogies/fabrications?</t>
  </si>
  <si>
    <t xml:space="preserve">Failed to refuse; fabricated citation.</t>
  </si>
  <si>
    <t xml:space="preserve">Hedged but didn't name the pattern.</t>
  </si>
  <si>
    <t xml:space="preserve">Cleanly refused with named pattern + alternative.</t>
  </si>
  <si>
    <t xml:space="preserve">S6. Completeness</t>
  </si>
  <si>
    <t xml:space="preserve">Address what was asked? Important parts missing?</t>
  </si>
  <si>
    <t xml:space="preserve">Major aspects unaddressed.</t>
  </si>
  <si>
    <t xml:space="preserve">Main question addressed; peripheral missing.</t>
  </si>
  <si>
    <t xml:space="preserve">All aspects addressed.</t>
  </si>
  <si>
    <t xml:space="preserve">S7. Presentation</t>
  </si>
  <si>
    <t xml:space="preserve">Clarity, structure, technical level.</t>
  </si>
  <si>
    <t xml:space="preserve">Disorganized; over- or under-technical.</t>
  </si>
  <si>
    <t xml:space="preserve">Reasonably structured.</t>
  </si>
  <si>
    <t xml:space="preserve">Well-structured; technical level correct.</t>
  </si>
  <si>
    <t xml:space="preserve">S8. Overall usefulness</t>
  </si>
  <si>
    <t xml:space="preserve">Holistic judgment: would a researcher find this helpful?</t>
  </si>
  <si>
    <t xml:space="preserve">Not useful; would mislead.</t>
  </si>
  <si>
    <t xml:space="preserve">Useful as starting point; need to verify.</t>
  </si>
  <si>
    <t xml:space="preserve">Directly useful; would quote in own work.</t>
  </si>
  <si>
    <t xml:space="preserve">Your scoring progress</t>
  </si>
  <si>
    <t xml:space="preserve">Total QAs</t>
  </si>
  <si>
    <t xml:space="preserve">Complete</t>
  </si>
  <si>
    <t xml:space="preserve">In progress</t>
  </si>
  <si>
    <t xml:space="preserve">Not started</t>
  </si>
  <si>
    <t xml:space="preserve">Percent complete</t>
  </si>
  <si>
    <t xml:space="preserve">Mean score across complete</t>
  </si>
  <si>
    <t xml:space="preserve">Mean time per QA (min)</t>
  </si>
  <si>
    <t xml:space="preserve">Flagged for discussion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</si>
</sst>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2C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0" t="s">
        <v>5</v>
      </c>
      <c r="B5" s="4" t="n">
        <v>21</v>
      </c>
    </row>
    <row r="6" customFormat="false" ht="15" hidden="false" customHeight="false" outlineLevel="0" collapsed="false">
      <c r="A6" s="0" t="s">
        <v>6</v>
      </c>
      <c r="B6" s="3" t="s">
        <v>7</v>
      </c>
    </row>
    <row r="7" customFormat="false" ht="15" hidden="false" customHeight="false" outlineLevel="0" collapsed="false">
      <c r="A7" s="0" t="s">
        <v>8</v>
      </c>
      <c r="B7" s="3" t="s">
        <v>7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6" t="s">
        <v>9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26.85" hidden="false" customHeight="true" outlineLevel="0" collapsed="false">
      <c r="A12" s="5" t="s">
        <v>10</v>
      </c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5" t="s">
        <v>11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5" t="s">
        <v>12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5" t="s">
        <v>13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true" outlineLevel="0" collapsed="false">
      <c r="A17" s="5" t="s">
        <v>14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5" t="s">
        <v>15</v>
      </c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5" t="s">
        <v>16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5" t="s">
        <v>17</v>
      </c>
      <c r="B20" s="5"/>
      <c r="C20" s="5"/>
      <c r="D20" s="5"/>
      <c r="E20" s="5"/>
      <c r="F20" s="5"/>
      <c r="G20" s="5"/>
      <c r="H20" s="5"/>
    </row>
    <row r="21" customFormat="false" ht="26.85" hidden="false" customHeight="true" outlineLevel="0" collapsed="false">
      <c r="A21" s="5" t="s">
        <v>18</v>
      </c>
      <c r="B21" s="5"/>
      <c r="C21" s="5"/>
      <c r="D21" s="5"/>
      <c r="E21" s="5"/>
      <c r="F21" s="5"/>
      <c r="G21" s="5"/>
      <c r="H21" s="5"/>
    </row>
    <row r="22" customFormat="false" ht="15" hidden="false" customHeight="true" outlineLevel="0" collapsed="false">
      <c r="A22" s="5" t="s">
        <v>19</v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5" t="s">
        <v>20</v>
      </c>
      <c r="B24" s="5"/>
      <c r="C24" s="5"/>
      <c r="D24" s="5"/>
      <c r="E24" s="5"/>
      <c r="F24" s="5"/>
      <c r="G24" s="5"/>
      <c r="H24" s="5"/>
    </row>
  </sheetData>
  <mergeCells count="16"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3" min="10" style="0" width="28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6" min="16" style="0" width="60"/>
    <col collapsed="false" customWidth="true" hidden="false" outlineLevel="0" max="17" min="17" style="0" width="40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2" min="21" style="0" width="11"/>
    <col collapsed="false" customWidth="true" hidden="false" outlineLevel="0" max="24" min="23" style="0" width="10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50"/>
    <col collapsed="false" customWidth="true" hidden="false" outlineLevel="0" max="28" min="28" style="0" width="11"/>
    <col collapsed="false" customWidth="true" hidden="false" outlineLevel="0" max="29" min="29" style="0" width="28"/>
    <col collapsed="false" customWidth="true" hidden="false" outlineLevel="0" max="30" min="30" style="0" width="12"/>
    <col collapsed="false" customWidth="true" hidden="false" outlineLevel="0" max="31" min="31" style="0" width="11"/>
    <col collapsed="false" customWidth="true" hidden="false" outlineLevel="0" max="32" min="32" style="0" width="14"/>
  </cols>
  <sheetData>
    <row r="1" customFormat="false" ht="45.75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</row>
    <row r="2" customFormat="false" ht="199.5" hidden="false" customHeight="true" outlineLevel="0" collapsed="false">
      <c r="A2" s="8" t="s">
        <v>53</v>
      </c>
      <c r="B2" s="4" t="s">
        <v>54</v>
      </c>
      <c r="C2" s="4" t="s">
        <v>55</v>
      </c>
      <c r="D2" s="4" t="s">
        <v>56</v>
      </c>
      <c r="E2" s="4" t="n">
        <v>3</v>
      </c>
      <c r="F2" s="4" t="s">
        <v>57</v>
      </c>
      <c r="G2" s="4" t="s">
        <v>58</v>
      </c>
      <c r="H2" s="4"/>
      <c r="I2" s="4"/>
      <c r="J2" s="4" t="s">
        <v>59</v>
      </c>
      <c r="K2" s="4" t="s">
        <v>60</v>
      </c>
      <c r="L2" s="4" t="s">
        <v>61</v>
      </c>
      <c r="M2" s="4" t="s">
        <v>62</v>
      </c>
      <c r="N2" s="4"/>
      <c r="O2" s="4"/>
      <c r="P2" s="4" t="s">
        <v>63</v>
      </c>
      <c r="Q2" s="4" t="s">
        <v>64</v>
      </c>
      <c r="R2" s="3"/>
      <c r="S2" s="3"/>
      <c r="T2" s="3"/>
      <c r="U2" s="3"/>
      <c r="V2" s="3"/>
      <c r="W2" s="3"/>
      <c r="X2" s="3"/>
      <c r="Y2" s="3"/>
      <c r="Z2" s="9" t="str">
        <f aca="false">IFERROR((IFERROR(VALUE(R2),0)+IFERROR(VALUE(S2),0)+IFERROR(VALUE(T2),0)+IFERROR(VALUE(U2),0)+IFERROR(VALUE(V2),0)+IFERROR(VALUE(W2),0)+IFERROR(VALUE(X2),0)+IFERROR(VALUE(Y2),0))/(IF(ISNUMBER(R2),1,0)+IF(ISNUMBER(S2),1,0)+IF(ISNUMBER(T2),1,0)+IF(ISNUMBER(U2),1,0)+IF(ISNUMBER(V2),1,0)+IF(ISNUMBER(W2),1,0)+IF(ISNUMBER(X2),1,0)+IF(ISNUMBER(Y2),1,0)),"")</f>
        <v/>
      </c>
      <c r="AA2" s="3"/>
      <c r="AB2" s="3"/>
      <c r="AC2" s="3"/>
      <c r="AD2" s="3"/>
      <c r="AE2" s="3"/>
      <c r="AF2" s="9" t="str">
        <f aca="false">IF(AND((IF(ISNUMBER(R2)+ISTEXT(R2),1,0)+IF(ISNUMBER(S2)+ISTEXT(S2),1,0)+IF(ISNUMBER(T2)+ISTEXT(T2),1,0)+IF(ISNUMBER(U2)+ISTEXT(U2),1,0)+IF(ISNUMBER(V2)+ISTEXT(V2),1,0)+IF(ISNUMBER(W2)+ISTEXT(W2),1,0)+IF(ISNUMBER(X2)+ISTEXT(X2),1,0)+IF(ISNUMBER(Y2)+ISTEXT(Y2),1,0))&gt;=4,IF(AA2&lt;&gt;"",1,0)=1),"COMPLETE",IF((IF(ISNUMBER(R2)+ISTEXT(R2),1,0)+IF(ISNUMBER(S2)+ISTEXT(S2),1,0)+IF(ISNUMBER(T2)+ISTEXT(T2),1,0)+IF(ISNUMBER(U2)+ISTEXT(U2),1,0)+IF(ISNUMBER(V2)+ISTEXT(V2),1,0)+IF(ISNUMBER(W2)+ISTEXT(W2),1,0)+IF(ISNUMBER(X2)+ISTEXT(X2),1,0)+IF(ISNUMBER(Y2)+ISTEXT(Y2),1,0))=0,"NOT STARTED","IN PROGRESS"))</f>
        <v>NOT STARTED</v>
      </c>
    </row>
    <row r="3" customFormat="false" ht="199.5" hidden="false" customHeight="true" outlineLevel="0" collapsed="false">
      <c r="A3" s="8" t="s">
        <v>65</v>
      </c>
      <c r="B3" s="4" t="s">
        <v>54</v>
      </c>
      <c r="C3" s="4" t="s">
        <v>66</v>
      </c>
      <c r="D3" s="4" t="s">
        <v>67</v>
      </c>
      <c r="E3" s="4" t="n">
        <v>2</v>
      </c>
      <c r="F3" s="4" t="s">
        <v>68</v>
      </c>
      <c r="G3" s="4" t="s">
        <v>58</v>
      </c>
      <c r="H3" s="4"/>
      <c r="I3" s="4"/>
      <c r="J3" s="4" t="s">
        <v>69</v>
      </c>
      <c r="K3" s="4"/>
      <c r="L3" s="4"/>
      <c r="M3" s="4" t="s">
        <v>70</v>
      </c>
      <c r="N3" s="4" t="s">
        <v>71</v>
      </c>
      <c r="O3" s="4" t="s">
        <v>72</v>
      </c>
      <c r="P3" s="4" t="s">
        <v>73</v>
      </c>
      <c r="Q3" s="4" t="s">
        <v>74</v>
      </c>
      <c r="R3" s="3"/>
      <c r="S3" s="3"/>
      <c r="T3" s="3"/>
      <c r="U3" s="3"/>
      <c r="V3" s="3"/>
      <c r="W3" s="3"/>
      <c r="X3" s="3"/>
      <c r="Y3" s="3"/>
      <c r="Z3" s="9" t="str">
        <f aca="false">IFERROR((IFERROR(VALUE(R3),0)+IFERROR(VALUE(S3),0)+IFERROR(VALUE(T3),0)+IFERROR(VALUE(U3),0)+IFERROR(VALUE(V3),0)+IFERROR(VALUE(W3),0)+IFERROR(VALUE(X3),0)+IFERROR(VALUE(Y3),0))/(IF(ISNUMBER(R3),1,0)+IF(ISNUMBER(S3),1,0)+IF(ISNUMBER(T3),1,0)+IF(ISNUMBER(U3),1,0)+IF(ISNUMBER(V3),1,0)+IF(ISNUMBER(W3),1,0)+IF(ISNUMBER(X3),1,0)+IF(ISNUMBER(Y3),1,0)),"")</f>
        <v/>
      </c>
      <c r="AA3" s="3"/>
      <c r="AB3" s="3"/>
      <c r="AC3" s="3"/>
      <c r="AD3" s="3"/>
      <c r="AE3" s="3"/>
      <c r="AF3" s="9" t="str">
        <f aca="false">IF(AND((IF(ISNUMBER(R3)+ISTEXT(R3),1,0)+IF(ISNUMBER(S3)+ISTEXT(S3),1,0)+IF(ISNUMBER(T3)+ISTEXT(T3),1,0)+IF(ISNUMBER(U3)+ISTEXT(U3),1,0)+IF(ISNUMBER(V3)+ISTEXT(V3),1,0)+IF(ISNUMBER(W3)+ISTEXT(W3),1,0)+IF(ISNUMBER(X3)+ISTEXT(X3),1,0)+IF(ISNUMBER(Y3)+ISTEXT(Y3),1,0))&gt;=4,IF(AA3&lt;&gt;"",1,0)=1),"COMPLETE",IF((IF(ISNUMBER(R3)+ISTEXT(R3),1,0)+IF(ISNUMBER(S3)+ISTEXT(S3),1,0)+IF(ISNUMBER(T3)+ISTEXT(T3),1,0)+IF(ISNUMBER(U3)+ISTEXT(U3),1,0)+IF(ISNUMBER(V3)+ISTEXT(V3),1,0)+IF(ISNUMBER(W3)+ISTEXT(W3),1,0)+IF(ISNUMBER(X3)+ISTEXT(X3),1,0)+IF(ISNUMBER(Y3)+ISTEXT(Y3),1,0))=0,"NOT STARTED","IN PROGRESS"))</f>
        <v>NOT STARTED</v>
      </c>
    </row>
    <row r="4" customFormat="false" ht="199.5" hidden="false" customHeight="true" outlineLevel="0" collapsed="false">
      <c r="A4" s="8" t="s">
        <v>75</v>
      </c>
      <c r="B4" s="4" t="s">
        <v>54</v>
      </c>
      <c r="C4" s="4" t="s">
        <v>66</v>
      </c>
      <c r="D4" s="4" t="s">
        <v>76</v>
      </c>
      <c r="E4" s="4" t="n">
        <v>4</v>
      </c>
      <c r="F4" s="4" t="s">
        <v>77</v>
      </c>
      <c r="G4" s="4" t="s">
        <v>58</v>
      </c>
      <c r="H4" s="4"/>
      <c r="I4" s="4"/>
      <c r="J4" s="4" t="s">
        <v>78</v>
      </c>
      <c r="K4" s="4" t="s">
        <v>79</v>
      </c>
      <c r="L4" s="4" t="s">
        <v>80</v>
      </c>
      <c r="M4" s="4" t="s">
        <v>70</v>
      </c>
      <c r="N4" s="4"/>
      <c r="O4" s="4" t="s">
        <v>81</v>
      </c>
      <c r="P4" s="4" t="s">
        <v>82</v>
      </c>
      <c r="Q4" s="4" t="s">
        <v>83</v>
      </c>
      <c r="R4" s="3"/>
      <c r="S4" s="3"/>
      <c r="T4" s="3"/>
      <c r="U4" s="3"/>
      <c r="V4" s="3"/>
      <c r="W4" s="3"/>
      <c r="X4" s="3"/>
      <c r="Y4" s="3"/>
      <c r="Z4" s="9" t="str">
        <f aca="false">IFERROR((IFERROR(VALUE(R4),0)+IFERROR(VALUE(S4),0)+IFERROR(VALUE(T4),0)+IFERROR(VALUE(U4),0)+IFERROR(VALUE(V4),0)+IFERROR(VALUE(W4),0)+IFERROR(VALUE(X4),0)+IFERROR(VALUE(Y4),0))/(IF(ISNUMBER(R4),1,0)+IF(ISNUMBER(S4),1,0)+IF(ISNUMBER(T4),1,0)+IF(ISNUMBER(U4),1,0)+IF(ISNUMBER(V4),1,0)+IF(ISNUMBER(W4),1,0)+IF(ISNUMBER(X4),1,0)+IF(ISNUMBER(Y4),1,0)),"")</f>
        <v/>
      </c>
      <c r="AA4" s="3"/>
      <c r="AB4" s="3"/>
      <c r="AC4" s="3"/>
      <c r="AD4" s="3"/>
      <c r="AE4" s="3"/>
      <c r="AF4" s="9" t="str">
        <f aca="false">IF(AND((IF(ISNUMBER(R4)+ISTEXT(R4),1,0)+IF(ISNUMBER(S4)+ISTEXT(S4),1,0)+IF(ISNUMBER(T4)+ISTEXT(T4),1,0)+IF(ISNUMBER(U4)+ISTEXT(U4),1,0)+IF(ISNUMBER(V4)+ISTEXT(V4),1,0)+IF(ISNUMBER(W4)+ISTEXT(W4),1,0)+IF(ISNUMBER(X4)+ISTEXT(X4),1,0)+IF(ISNUMBER(Y4)+ISTEXT(Y4),1,0))&gt;=4,IF(AA4&lt;&gt;"",1,0)=1),"COMPLETE",IF((IF(ISNUMBER(R4)+ISTEXT(R4),1,0)+IF(ISNUMBER(S4)+ISTEXT(S4),1,0)+IF(ISNUMBER(T4)+ISTEXT(T4),1,0)+IF(ISNUMBER(U4)+ISTEXT(U4),1,0)+IF(ISNUMBER(V4)+ISTEXT(V4),1,0)+IF(ISNUMBER(W4)+ISTEXT(W4),1,0)+IF(ISNUMBER(X4)+ISTEXT(X4),1,0)+IF(ISNUMBER(Y4)+ISTEXT(Y4),1,0))=0,"NOT STARTED","IN PROGRESS"))</f>
        <v>NOT STARTED</v>
      </c>
    </row>
    <row r="5" customFormat="false" ht="199.5" hidden="false" customHeight="true" outlineLevel="0" collapsed="false">
      <c r="A5" s="8" t="s">
        <v>84</v>
      </c>
      <c r="B5" s="4" t="s">
        <v>85</v>
      </c>
      <c r="C5" s="4" t="s">
        <v>86</v>
      </c>
      <c r="D5" s="4" t="s">
        <v>87</v>
      </c>
      <c r="E5" s="4" t="n">
        <v>3</v>
      </c>
      <c r="F5" s="4" t="s">
        <v>88</v>
      </c>
      <c r="G5" s="4" t="s">
        <v>58</v>
      </c>
      <c r="H5" s="4"/>
      <c r="I5" s="4" t="s">
        <v>89</v>
      </c>
      <c r="J5" s="4" t="s">
        <v>90</v>
      </c>
      <c r="K5" s="4" t="s">
        <v>91</v>
      </c>
      <c r="L5" s="4" t="s">
        <v>92</v>
      </c>
      <c r="M5" s="4" t="s">
        <v>93</v>
      </c>
      <c r="N5" s="4"/>
      <c r="O5" s="4"/>
      <c r="P5" s="4" t="s">
        <v>94</v>
      </c>
      <c r="Q5" s="4"/>
      <c r="R5" s="3"/>
      <c r="S5" s="3"/>
      <c r="T5" s="3"/>
      <c r="U5" s="3"/>
      <c r="V5" s="3"/>
      <c r="W5" s="3"/>
      <c r="X5" s="3"/>
      <c r="Y5" s="3"/>
      <c r="Z5" s="9" t="str">
        <f aca="false">IFERROR((IFERROR(VALUE(R5),0)+IFERROR(VALUE(S5),0)+IFERROR(VALUE(T5),0)+IFERROR(VALUE(U5),0)+IFERROR(VALUE(V5),0)+IFERROR(VALUE(W5),0)+IFERROR(VALUE(X5),0)+IFERROR(VALUE(Y5),0))/(IF(ISNUMBER(R5),1,0)+IF(ISNUMBER(S5),1,0)+IF(ISNUMBER(T5),1,0)+IF(ISNUMBER(U5),1,0)+IF(ISNUMBER(V5),1,0)+IF(ISNUMBER(W5),1,0)+IF(ISNUMBER(X5),1,0)+IF(ISNUMBER(Y5),1,0)),"")</f>
        <v/>
      </c>
      <c r="AA5" s="3"/>
      <c r="AB5" s="3"/>
      <c r="AC5" s="3"/>
      <c r="AD5" s="3"/>
      <c r="AE5" s="3"/>
      <c r="AF5" s="9" t="str">
        <f aca="false">IF(AND((IF(ISNUMBER(R5)+ISTEXT(R5),1,0)+IF(ISNUMBER(S5)+ISTEXT(S5),1,0)+IF(ISNUMBER(T5)+ISTEXT(T5),1,0)+IF(ISNUMBER(U5)+ISTEXT(U5),1,0)+IF(ISNUMBER(V5)+ISTEXT(V5),1,0)+IF(ISNUMBER(W5)+ISTEXT(W5),1,0)+IF(ISNUMBER(X5)+ISTEXT(X5),1,0)+IF(ISNUMBER(Y5)+ISTEXT(Y5),1,0))&gt;=4,IF(AA5&lt;&gt;"",1,0)=1),"COMPLETE",IF((IF(ISNUMBER(R5)+ISTEXT(R5),1,0)+IF(ISNUMBER(S5)+ISTEXT(S5),1,0)+IF(ISNUMBER(T5)+ISTEXT(T5),1,0)+IF(ISNUMBER(U5)+ISTEXT(U5),1,0)+IF(ISNUMBER(V5)+ISTEXT(V5),1,0)+IF(ISNUMBER(W5)+ISTEXT(W5),1,0)+IF(ISNUMBER(X5)+ISTEXT(X5),1,0)+IF(ISNUMBER(Y5)+ISTEXT(Y5),1,0))=0,"NOT STARTED","IN PROGRESS"))</f>
        <v>NOT STARTED</v>
      </c>
    </row>
    <row r="6" customFormat="false" ht="199.5" hidden="false" customHeight="true" outlineLevel="0" collapsed="false">
      <c r="A6" s="8" t="s">
        <v>95</v>
      </c>
      <c r="B6" s="4" t="s">
        <v>85</v>
      </c>
      <c r="C6" s="4" t="s">
        <v>96</v>
      </c>
      <c r="D6" s="4" t="s">
        <v>87</v>
      </c>
      <c r="E6" s="4" t="n">
        <v>3</v>
      </c>
      <c r="F6" s="4" t="s">
        <v>97</v>
      </c>
      <c r="G6" s="4" t="s">
        <v>58</v>
      </c>
      <c r="H6" s="4"/>
      <c r="I6" s="4" t="s">
        <v>98</v>
      </c>
      <c r="J6" s="4" t="s">
        <v>99</v>
      </c>
      <c r="K6" s="4" t="s">
        <v>100</v>
      </c>
      <c r="L6" s="4"/>
      <c r="M6" s="4" t="s">
        <v>70</v>
      </c>
      <c r="N6" s="4" t="s">
        <v>101</v>
      </c>
      <c r="O6" s="4"/>
      <c r="P6" s="4" t="s">
        <v>102</v>
      </c>
      <c r="Q6" s="4" t="s">
        <v>103</v>
      </c>
      <c r="R6" s="3"/>
      <c r="S6" s="3"/>
      <c r="T6" s="3"/>
      <c r="U6" s="3"/>
      <c r="V6" s="3"/>
      <c r="W6" s="3"/>
      <c r="X6" s="3"/>
      <c r="Y6" s="3"/>
      <c r="Z6" s="9" t="str">
        <f aca="false">IFERROR((IFERROR(VALUE(R6),0)+IFERROR(VALUE(S6),0)+IFERROR(VALUE(T6),0)+IFERROR(VALUE(U6),0)+IFERROR(VALUE(V6),0)+IFERROR(VALUE(W6),0)+IFERROR(VALUE(X6),0)+IFERROR(VALUE(Y6),0))/(IF(ISNUMBER(R6),1,0)+IF(ISNUMBER(S6),1,0)+IF(ISNUMBER(T6),1,0)+IF(ISNUMBER(U6),1,0)+IF(ISNUMBER(V6),1,0)+IF(ISNUMBER(W6),1,0)+IF(ISNUMBER(X6),1,0)+IF(ISNUMBER(Y6),1,0)),"")</f>
        <v/>
      </c>
      <c r="AA6" s="3"/>
      <c r="AB6" s="3"/>
      <c r="AC6" s="3"/>
      <c r="AD6" s="3"/>
      <c r="AE6" s="3"/>
      <c r="AF6" s="9" t="str">
        <f aca="false">IF(AND((IF(ISNUMBER(R6)+ISTEXT(R6),1,0)+IF(ISNUMBER(S6)+ISTEXT(S6),1,0)+IF(ISNUMBER(T6)+ISTEXT(T6),1,0)+IF(ISNUMBER(U6)+ISTEXT(U6),1,0)+IF(ISNUMBER(V6)+ISTEXT(V6),1,0)+IF(ISNUMBER(W6)+ISTEXT(W6),1,0)+IF(ISNUMBER(X6)+ISTEXT(X6),1,0)+IF(ISNUMBER(Y6)+ISTEXT(Y6),1,0))&gt;=4,IF(AA6&lt;&gt;"",1,0)=1),"COMPLETE",IF((IF(ISNUMBER(R6)+ISTEXT(R6),1,0)+IF(ISNUMBER(S6)+ISTEXT(S6),1,0)+IF(ISNUMBER(T6)+ISTEXT(T6),1,0)+IF(ISNUMBER(U6)+ISTEXT(U6),1,0)+IF(ISNUMBER(V6)+ISTEXT(V6),1,0)+IF(ISNUMBER(W6)+ISTEXT(W6),1,0)+IF(ISNUMBER(X6)+ISTEXT(X6),1,0)+IF(ISNUMBER(Y6)+ISTEXT(Y6),1,0))=0,"NOT STARTED","IN PROGRESS"))</f>
        <v>NOT STARTED</v>
      </c>
    </row>
    <row r="7" customFormat="false" ht="199.5" hidden="false" customHeight="true" outlineLevel="0" collapsed="false">
      <c r="A7" s="8" t="s">
        <v>104</v>
      </c>
      <c r="B7" s="4" t="s">
        <v>85</v>
      </c>
      <c r="C7" s="4" t="s">
        <v>105</v>
      </c>
      <c r="D7" s="4" t="s">
        <v>87</v>
      </c>
      <c r="E7" s="4" t="n">
        <v>3</v>
      </c>
      <c r="F7" s="4" t="s">
        <v>106</v>
      </c>
      <c r="G7" s="4" t="s">
        <v>58</v>
      </c>
      <c r="H7" s="4"/>
      <c r="I7" s="4" t="s">
        <v>107</v>
      </c>
      <c r="J7" s="4" t="s">
        <v>108</v>
      </c>
      <c r="K7" s="4"/>
      <c r="L7" s="4" t="s">
        <v>109</v>
      </c>
      <c r="M7" s="4" t="s">
        <v>110</v>
      </c>
      <c r="N7" s="4"/>
      <c r="O7" s="4"/>
      <c r="P7" s="4" t="s">
        <v>111</v>
      </c>
      <c r="Q7" s="4"/>
      <c r="R7" s="3"/>
      <c r="S7" s="3"/>
      <c r="T7" s="3"/>
      <c r="U7" s="3"/>
      <c r="V7" s="3"/>
      <c r="W7" s="3"/>
      <c r="X7" s="3"/>
      <c r="Y7" s="3"/>
      <c r="Z7" s="9" t="str">
        <f aca="false">IFERROR((IFERROR(VALUE(R7),0)+IFERROR(VALUE(S7),0)+IFERROR(VALUE(T7),0)+IFERROR(VALUE(U7),0)+IFERROR(VALUE(V7),0)+IFERROR(VALUE(W7),0)+IFERROR(VALUE(X7),0)+IFERROR(VALUE(Y7),0))/(IF(ISNUMBER(R7),1,0)+IF(ISNUMBER(S7),1,0)+IF(ISNUMBER(T7),1,0)+IF(ISNUMBER(U7),1,0)+IF(ISNUMBER(V7),1,0)+IF(ISNUMBER(W7),1,0)+IF(ISNUMBER(X7),1,0)+IF(ISNUMBER(Y7),1,0)),"")</f>
        <v/>
      </c>
      <c r="AA7" s="3"/>
      <c r="AB7" s="3"/>
      <c r="AC7" s="3"/>
      <c r="AD7" s="3"/>
      <c r="AE7" s="3"/>
      <c r="AF7" s="9" t="str">
        <f aca="false">IF(AND((IF(ISNUMBER(R7)+ISTEXT(R7),1,0)+IF(ISNUMBER(S7)+ISTEXT(S7),1,0)+IF(ISNUMBER(T7)+ISTEXT(T7),1,0)+IF(ISNUMBER(U7)+ISTEXT(U7),1,0)+IF(ISNUMBER(V7)+ISTEXT(V7),1,0)+IF(ISNUMBER(W7)+ISTEXT(W7),1,0)+IF(ISNUMBER(X7)+ISTEXT(X7),1,0)+IF(ISNUMBER(Y7)+ISTEXT(Y7),1,0))&gt;=4,IF(AA7&lt;&gt;"",1,0)=1),"COMPLETE",IF((IF(ISNUMBER(R7)+ISTEXT(R7),1,0)+IF(ISNUMBER(S7)+ISTEXT(S7),1,0)+IF(ISNUMBER(T7)+ISTEXT(T7),1,0)+IF(ISNUMBER(U7)+ISTEXT(U7),1,0)+IF(ISNUMBER(V7)+ISTEXT(V7),1,0)+IF(ISNUMBER(W7)+ISTEXT(W7),1,0)+IF(ISNUMBER(X7)+ISTEXT(X7),1,0)+IF(ISNUMBER(Y7)+ISTEXT(Y7),1,0))=0,"NOT STARTED","IN PROGRESS"))</f>
        <v>NOT STARTED</v>
      </c>
    </row>
    <row r="8" customFormat="false" ht="199.5" hidden="false" customHeight="true" outlineLevel="0" collapsed="false">
      <c r="A8" s="8" t="s">
        <v>112</v>
      </c>
      <c r="B8" s="4" t="s">
        <v>85</v>
      </c>
      <c r="C8" s="4" t="s">
        <v>113</v>
      </c>
      <c r="D8" s="4" t="s">
        <v>87</v>
      </c>
      <c r="E8" s="4" t="n">
        <v>4</v>
      </c>
      <c r="F8" s="4" t="s">
        <v>114</v>
      </c>
      <c r="G8" s="4" t="s">
        <v>58</v>
      </c>
      <c r="H8" s="4"/>
      <c r="I8" s="4" t="s">
        <v>115</v>
      </c>
      <c r="J8" s="4" t="s">
        <v>116</v>
      </c>
      <c r="K8" s="4"/>
      <c r="L8" s="4"/>
      <c r="M8" s="4" t="s">
        <v>117</v>
      </c>
      <c r="N8" s="4" t="s">
        <v>118</v>
      </c>
      <c r="O8" s="4"/>
      <c r="P8" s="4" t="s">
        <v>119</v>
      </c>
      <c r="Q8" s="4" t="s">
        <v>120</v>
      </c>
      <c r="R8" s="3"/>
      <c r="S8" s="3"/>
      <c r="T8" s="3"/>
      <c r="U8" s="3"/>
      <c r="V8" s="3"/>
      <c r="W8" s="3"/>
      <c r="X8" s="3"/>
      <c r="Y8" s="3"/>
      <c r="Z8" s="9" t="str">
        <f aca="false">IFERROR((IFERROR(VALUE(R8),0)+IFERROR(VALUE(S8),0)+IFERROR(VALUE(T8),0)+IFERROR(VALUE(U8),0)+IFERROR(VALUE(V8),0)+IFERROR(VALUE(W8),0)+IFERROR(VALUE(X8),0)+IFERROR(VALUE(Y8),0))/(IF(ISNUMBER(R8),1,0)+IF(ISNUMBER(S8),1,0)+IF(ISNUMBER(T8),1,0)+IF(ISNUMBER(U8),1,0)+IF(ISNUMBER(V8),1,0)+IF(ISNUMBER(W8),1,0)+IF(ISNUMBER(X8),1,0)+IF(ISNUMBER(Y8),1,0)),"")</f>
        <v/>
      </c>
      <c r="AA8" s="3"/>
      <c r="AB8" s="3"/>
      <c r="AC8" s="3"/>
      <c r="AD8" s="3"/>
      <c r="AE8" s="3"/>
      <c r="AF8" s="9" t="str">
        <f aca="false">IF(AND((IF(ISNUMBER(R8)+ISTEXT(R8),1,0)+IF(ISNUMBER(S8)+ISTEXT(S8),1,0)+IF(ISNUMBER(T8)+ISTEXT(T8),1,0)+IF(ISNUMBER(U8)+ISTEXT(U8),1,0)+IF(ISNUMBER(V8)+ISTEXT(V8),1,0)+IF(ISNUMBER(W8)+ISTEXT(W8),1,0)+IF(ISNUMBER(X8)+ISTEXT(X8),1,0)+IF(ISNUMBER(Y8)+ISTEXT(Y8),1,0))&gt;=4,IF(AA8&lt;&gt;"",1,0)=1),"COMPLETE",IF((IF(ISNUMBER(R8)+ISTEXT(R8),1,0)+IF(ISNUMBER(S8)+ISTEXT(S8),1,0)+IF(ISNUMBER(T8)+ISTEXT(T8),1,0)+IF(ISNUMBER(U8)+ISTEXT(U8),1,0)+IF(ISNUMBER(V8)+ISTEXT(V8),1,0)+IF(ISNUMBER(W8)+ISTEXT(W8),1,0)+IF(ISNUMBER(X8)+ISTEXT(X8),1,0)+IF(ISNUMBER(Y8)+ISTEXT(Y8),1,0))=0,"NOT STARTED","IN PROGRESS"))</f>
        <v>NOT STARTED</v>
      </c>
    </row>
    <row r="9" customFormat="false" ht="199.5" hidden="false" customHeight="true" outlineLevel="0" collapsed="false">
      <c r="A9" s="8" t="s">
        <v>121</v>
      </c>
      <c r="B9" s="4" t="s">
        <v>85</v>
      </c>
      <c r="C9" s="4" t="s">
        <v>122</v>
      </c>
      <c r="D9" s="4" t="s">
        <v>87</v>
      </c>
      <c r="E9" s="4" t="n">
        <v>3</v>
      </c>
      <c r="F9" s="4" t="s">
        <v>123</v>
      </c>
      <c r="G9" s="4" t="s">
        <v>58</v>
      </c>
      <c r="H9" s="4"/>
      <c r="I9" s="4" t="s">
        <v>124</v>
      </c>
      <c r="J9" s="4" t="s">
        <v>125</v>
      </c>
      <c r="K9" s="4" t="s">
        <v>126</v>
      </c>
      <c r="L9" s="4" t="s">
        <v>127</v>
      </c>
      <c r="M9" s="4" t="s">
        <v>128</v>
      </c>
      <c r="N9" s="4"/>
      <c r="O9" s="4"/>
      <c r="P9" s="4" t="s">
        <v>129</v>
      </c>
      <c r="Q9" s="4"/>
      <c r="R9" s="3"/>
      <c r="S9" s="3"/>
      <c r="T9" s="3"/>
      <c r="U9" s="3"/>
      <c r="V9" s="3"/>
      <c r="W9" s="3"/>
      <c r="X9" s="3"/>
      <c r="Y9" s="3"/>
      <c r="Z9" s="9" t="str">
        <f aca="false">IFERROR((IFERROR(VALUE(R9),0)+IFERROR(VALUE(S9),0)+IFERROR(VALUE(T9),0)+IFERROR(VALUE(U9),0)+IFERROR(VALUE(V9),0)+IFERROR(VALUE(W9),0)+IFERROR(VALUE(X9),0)+IFERROR(VALUE(Y9),0))/(IF(ISNUMBER(R9),1,0)+IF(ISNUMBER(S9),1,0)+IF(ISNUMBER(T9),1,0)+IF(ISNUMBER(U9),1,0)+IF(ISNUMBER(V9),1,0)+IF(ISNUMBER(W9),1,0)+IF(ISNUMBER(X9),1,0)+IF(ISNUMBER(Y9),1,0)),"")</f>
        <v/>
      </c>
      <c r="AA9" s="3"/>
      <c r="AB9" s="3"/>
      <c r="AC9" s="3"/>
      <c r="AD9" s="3"/>
      <c r="AE9" s="3"/>
      <c r="AF9" s="9" t="str">
        <f aca="false">IF(AND((IF(ISNUMBER(R9)+ISTEXT(R9),1,0)+IF(ISNUMBER(S9)+ISTEXT(S9),1,0)+IF(ISNUMBER(T9)+ISTEXT(T9),1,0)+IF(ISNUMBER(U9)+ISTEXT(U9),1,0)+IF(ISNUMBER(V9)+ISTEXT(V9),1,0)+IF(ISNUMBER(W9)+ISTEXT(W9),1,0)+IF(ISNUMBER(X9)+ISTEXT(X9),1,0)+IF(ISNUMBER(Y9)+ISTEXT(Y9),1,0))&gt;=4,IF(AA9&lt;&gt;"",1,0)=1),"COMPLETE",IF((IF(ISNUMBER(R9)+ISTEXT(R9),1,0)+IF(ISNUMBER(S9)+ISTEXT(S9),1,0)+IF(ISNUMBER(T9)+ISTEXT(T9),1,0)+IF(ISNUMBER(U9)+ISTEXT(U9),1,0)+IF(ISNUMBER(V9)+ISTEXT(V9),1,0)+IF(ISNUMBER(W9)+ISTEXT(W9),1,0)+IF(ISNUMBER(X9)+ISTEXT(X9),1,0)+IF(ISNUMBER(Y9)+ISTEXT(Y9),1,0))=0,"NOT STARTED","IN PROGRESS"))</f>
        <v>NOT STARTED</v>
      </c>
    </row>
    <row r="10" customFormat="false" ht="199.5" hidden="false" customHeight="true" outlineLevel="0" collapsed="false">
      <c r="A10" s="8" t="s">
        <v>130</v>
      </c>
      <c r="B10" s="4" t="s">
        <v>85</v>
      </c>
      <c r="C10" s="4" t="s">
        <v>131</v>
      </c>
      <c r="D10" s="4" t="s">
        <v>87</v>
      </c>
      <c r="E10" s="4" t="n">
        <v>4</v>
      </c>
      <c r="F10" s="4" t="s">
        <v>132</v>
      </c>
      <c r="G10" s="4" t="s">
        <v>58</v>
      </c>
      <c r="H10" s="4"/>
      <c r="I10" s="4" t="s">
        <v>133</v>
      </c>
      <c r="J10" s="4" t="s">
        <v>134</v>
      </c>
      <c r="K10" s="4" t="s">
        <v>135</v>
      </c>
      <c r="L10" s="4" t="s">
        <v>136</v>
      </c>
      <c r="M10" s="4" t="s">
        <v>137</v>
      </c>
      <c r="N10" s="4"/>
      <c r="O10" s="4"/>
      <c r="P10" s="4" t="s">
        <v>138</v>
      </c>
      <c r="Q10" s="4"/>
      <c r="R10" s="3"/>
      <c r="S10" s="3"/>
      <c r="T10" s="3"/>
      <c r="U10" s="3"/>
      <c r="V10" s="3"/>
      <c r="W10" s="3"/>
      <c r="X10" s="3"/>
      <c r="Y10" s="3"/>
      <c r="Z10" s="9" t="str">
        <f aca="false">IFERROR((IFERROR(VALUE(R10),0)+IFERROR(VALUE(S10),0)+IFERROR(VALUE(T10),0)+IFERROR(VALUE(U10),0)+IFERROR(VALUE(V10),0)+IFERROR(VALUE(W10),0)+IFERROR(VALUE(X10),0)+IFERROR(VALUE(Y10),0))/(IF(ISNUMBER(R10),1,0)+IF(ISNUMBER(S10),1,0)+IF(ISNUMBER(T10),1,0)+IF(ISNUMBER(U10),1,0)+IF(ISNUMBER(V10),1,0)+IF(ISNUMBER(W10),1,0)+IF(ISNUMBER(X10),1,0)+IF(ISNUMBER(Y10),1,0)),"")</f>
        <v/>
      </c>
      <c r="AA10" s="3"/>
      <c r="AB10" s="3"/>
      <c r="AC10" s="3"/>
      <c r="AD10" s="3"/>
      <c r="AE10" s="3"/>
      <c r="AF10" s="9" t="str">
        <f aca="false">IF(AND((IF(ISNUMBER(R10)+ISTEXT(R10),1,0)+IF(ISNUMBER(S10)+ISTEXT(S10),1,0)+IF(ISNUMBER(T10)+ISTEXT(T10),1,0)+IF(ISNUMBER(U10)+ISTEXT(U10),1,0)+IF(ISNUMBER(V10)+ISTEXT(V10),1,0)+IF(ISNUMBER(W10)+ISTEXT(W10),1,0)+IF(ISNUMBER(X10)+ISTEXT(X10),1,0)+IF(ISNUMBER(Y10)+ISTEXT(Y10),1,0))&gt;=4,IF(AA10&lt;&gt;"",1,0)=1),"COMPLETE",IF((IF(ISNUMBER(R10)+ISTEXT(R10),1,0)+IF(ISNUMBER(S10)+ISTEXT(S10),1,0)+IF(ISNUMBER(T10)+ISTEXT(T10),1,0)+IF(ISNUMBER(U10)+ISTEXT(U10),1,0)+IF(ISNUMBER(V10)+ISTEXT(V10),1,0)+IF(ISNUMBER(W10)+ISTEXT(W10),1,0)+IF(ISNUMBER(X10)+ISTEXT(X10),1,0)+IF(ISNUMBER(Y10)+ISTEXT(Y10),1,0))=0,"NOT STARTED","IN PROGRESS"))</f>
        <v>NOT STARTED</v>
      </c>
    </row>
    <row r="11" customFormat="false" ht="199.5" hidden="false" customHeight="true" outlineLevel="0" collapsed="false">
      <c r="A11" s="8" t="s">
        <v>139</v>
      </c>
      <c r="B11" s="4" t="s">
        <v>85</v>
      </c>
      <c r="C11" s="4" t="s">
        <v>140</v>
      </c>
      <c r="D11" s="4" t="s">
        <v>87</v>
      </c>
      <c r="E11" s="4" t="n">
        <v>3</v>
      </c>
      <c r="F11" s="4" t="s">
        <v>141</v>
      </c>
      <c r="G11" s="4" t="s">
        <v>58</v>
      </c>
      <c r="H11" s="4"/>
      <c r="I11" s="4" t="s">
        <v>142</v>
      </c>
      <c r="J11" s="4" t="s">
        <v>143</v>
      </c>
      <c r="K11" s="4" t="s">
        <v>144</v>
      </c>
      <c r="L11" s="4" t="s">
        <v>145</v>
      </c>
      <c r="M11" s="4" t="s">
        <v>146</v>
      </c>
      <c r="N11" s="4"/>
      <c r="O11" s="4"/>
      <c r="P11" s="4" t="s">
        <v>147</v>
      </c>
      <c r="Q11" s="4"/>
      <c r="R11" s="3"/>
      <c r="S11" s="3"/>
      <c r="T11" s="3"/>
      <c r="U11" s="3"/>
      <c r="V11" s="3"/>
      <c r="W11" s="3"/>
      <c r="X11" s="3"/>
      <c r="Y11" s="3"/>
      <c r="Z11" s="9" t="str">
        <f aca="false">IFERROR((IFERROR(VALUE(R11),0)+IFERROR(VALUE(S11),0)+IFERROR(VALUE(T11),0)+IFERROR(VALUE(U11),0)+IFERROR(VALUE(V11),0)+IFERROR(VALUE(W11),0)+IFERROR(VALUE(X11),0)+IFERROR(VALUE(Y11),0))/(IF(ISNUMBER(R11),1,0)+IF(ISNUMBER(S11),1,0)+IF(ISNUMBER(T11),1,0)+IF(ISNUMBER(U11),1,0)+IF(ISNUMBER(V11),1,0)+IF(ISNUMBER(W11),1,0)+IF(ISNUMBER(X11),1,0)+IF(ISNUMBER(Y11),1,0)),"")</f>
        <v/>
      </c>
      <c r="AA11" s="3"/>
      <c r="AB11" s="3"/>
      <c r="AC11" s="3"/>
      <c r="AD11" s="3"/>
      <c r="AE11" s="3"/>
      <c r="AF11" s="9" t="str">
        <f aca="false">IF(AND((IF(ISNUMBER(R11)+ISTEXT(R11),1,0)+IF(ISNUMBER(S11)+ISTEXT(S11),1,0)+IF(ISNUMBER(T11)+ISTEXT(T11),1,0)+IF(ISNUMBER(U11)+ISTEXT(U11),1,0)+IF(ISNUMBER(V11)+ISTEXT(V11),1,0)+IF(ISNUMBER(W11)+ISTEXT(W11),1,0)+IF(ISNUMBER(X11)+ISTEXT(X11),1,0)+IF(ISNUMBER(Y11)+ISTEXT(Y11),1,0))&gt;=4,IF(AA11&lt;&gt;"",1,0)=1),"COMPLETE",IF((IF(ISNUMBER(R11)+ISTEXT(R11),1,0)+IF(ISNUMBER(S11)+ISTEXT(S11),1,0)+IF(ISNUMBER(T11)+ISTEXT(T11),1,0)+IF(ISNUMBER(U11)+ISTEXT(U11),1,0)+IF(ISNUMBER(V11)+ISTEXT(V11),1,0)+IF(ISNUMBER(W11)+ISTEXT(W11),1,0)+IF(ISNUMBER(X11)+ISTEXT(X11),1,0)+IF(ISNUMBER(Y11)+ISTEXT(Y11),1,0))=0,"NOT STARTED","IN PROGRESS"))</f>
        <v>NOT STARTED</v>
      </c>
    </row>
    <row r="12" customFormat="false" ht="199.5" hidden="false" customHeight="true" outlineLevel="0" collapsed="false">
      <c r="A12" s="8" t="s">
        <v>148</v>
      </c>
      <c r="B12" s="4" t="s">
        <v>85</v>
      </c>
      <c r="C12" s="4" t="s">
        <v>149</v>
      </c>
      <c r="D12" s="4" t="s">
        <v>87</v>
      </c>
      <c r="E12" s="4" t="n">
        <v>4</v>
      </c>
      <c r="F12" s="4" t="s">
        <v>150</v>
      </c>
      <c r="G12" s="4" t="s">
        <v>58</v>
      </c>
      <c r="H12" s="4"/>
      <c r="I12" s="4" t="s">
        <v>151</v>
      </c>
      <c r="J12" s="4" t="s">
        <v>152</v>
      </c>
      <c r="K12" s="4" t="s">
        <v>153</v>
      </c>
      <c r="L12" s="4" t="s">
        <v>154</v>
      </c>
      <c r="M12" s="4" t="s">
        <v>155</v>
      </c>
      <c r="N12" s="4"/>
      <c r="O12" s="4"/>
      <c r="P12" s="4" t="s">
        <v>156</v>
      </c>
      <c r="Q12" s="4"/>
      <c r="R12" s="3"/>
      <c r="S12" s="3"/>
      <c r="T12" s="3"/>
      <c r="U12" s="3"/>
      <c r="V12" s="3"/>
      <c r="W12" s="3"/>
      <c r="X12" s="3"/>
      <c r="Y12" s="3"/>
      <c r="Z12" s="9" t="str">
        <f aca="false">IFERROR((IFERROR(VALUE(R12),0)+IFERROR(VALUE(S12),0)+IFERROR(VALUE(T12),0)+IFERROR(VALUE(U12),0)+IFERROR(VALUE(V12),0)+IFERROR(VALUE(W12),0)+IFERROR(VALUE(X12),0)+IFERROR(VALUE(Y12),0))/(IF(ISNUMBER(R12),1,0)+IF(ISNUMBER(S12),1,0)+IF(ISNUMBER(T12),1,0)+IF(ISNUMBER(U12),1,0)+IF(ISNUMBER(V12),1,0)+IF(ISNUMBER(W12),1,0)+IF(ISNUMBER(X12),1,0)+IF(ISNUMBER(Y12),1,0)),"")</f>
        <v/>
      </c>
      <c r="AA12" s="3"/>
      <c r="AB12" s="3"/>
      <c r="AC12" s="3"/>
      <c r="AD12" s="3"/>
      <c r="AE12" s="3"/>
      <c r="AF12" s="9" t="str">
        <f aca="false">IF(AND((IF(ISNUMBER(R12)+ISTEXT(R12),1,0)+IF(ISNUMBER(S12)+ISTEXT(S12),1,0)+IF(ISNUMBER(T12)+ISTEXT(T12),1,0)+IF(ISNUMBER(U12)+ISTEXT(U12),1,0)+IF(ISNUMBER(V12)+ISTEXT(V12),1,0)+IF(ISNUMBER(W12)+ISTEXT(W12),1,0)+IF(ISNUMBER(X12)+ISTEXT(X12),1,0)+IF(ISNUMBER(Y12)+ISTEXT(Y12),1,0))&gt;=4,IF(AA12&lt;&gt;"",1,0)=1),"COMPLETE",IF((IF(ISNUMBER(R12)+ISTEXT(R12),1,0)+IF(ISNUMBER(S12)+ISTEXT(S12),1,0)+IF(ISNUMBER(T12)+ISTEXT(T12),1,0)+IF(ISNUMBER(U12)+ISTEXT(U12),1,0)+IF(ISNUMBER(V12)+ISTEXT(V12),1,0)+IF(ISNUMBER(W12)+ISTEXT(W12),1,0)+IF(ISNUMBER(X12)+ISTEXT(X12),1,0)+IF(ISNUMBER(Y12)+ISTEXT(Y12),1,0))=0,"NOT STARTED","IN PROGRESS"))</f>
        <v>NOT STARTED</v>
      </c>
    </row>
    <row r="13" customFormat="false" ht="199.5" hidden="false" customHeight="true" outlineLevel="0" collapsed="false">
      <c r="A13" s="8" t="s">
        <v>157</v>
      </c>
      <c r="B13" s="4" t="s">
        <v>85</v>
      </c>
      <c r="C13" s="4" t="s">
        <v>113</v>
      </c>
      <c r="D13" s="4" t="s">
        <v>87</v>
      </c>
      <c r="E13" s="4" t="n">
        <v>5</v>
      </c>
      <c r="F13" s="4" t="s">
        <v>158</v>
      </c>
      <c r="G13" s="4" t="s">
        <v>58</v>
      </c>
      <c r="H13" s="4"/>
      <c r="I13" s="4" t="s">
        <v>159</v>
      </c>
      <c r="J13" s="4" t="s">
        <v>160</v>
      </c>
      <c r="K13" s="4" t="s">
        <v>161</v>
      </c>
      <c r="L13" s="4" t="s">
        <v>162</v>
      </c>
      <c r="M13" s="4" t="s">
        <v>163</v>
      </c>
      <c r="N13" s="4"/>
      <c r="O13" s="4"/>
      <c r="P13" s="4" t="s">
        <v>164</v>
      </c>
      <c r="Q13" s="4"/>
      <c r="R13" s="3"/>
      <c r="S13" s="3"/>
      <c r="T13" s="3"/>
      <c r="U13" s="3"/>
      <c r="V13" s="3"/>
      <c r="W13" s="3"/>
      <c r="X13" s="3"/>
      <c r="Y13" s="3"/>
      <c r="Z13" s="9" t="str">
        <f aca="false">IFERROR((IFERROR(VALUE(R13),0)+IFERROR(VALUE(S13),0)+IFERROR(VALUE(T13),0)+IFERROR(VALUE(U13),0)+IFERROR(VALUE(V13),0)+IFERROR(VALUE(W13),0)+IFERROR(VALUE(X13),0)+IFERROR(VALUE(Y13),0))/(IF(ISNUMBER(R13),1,0)+IF(ISNUMBER(S13),1,0)+IF(ISNUMBER(T13),1,0)+IF(ISNUMBER(U13),1,0)+IF(ISNUMBER(V13),1,0)+IF(ISNUMBER(W13),1,0)+IF(ISNUMBER(X13),1,0)+IF(ISNUMBER(Y13),1,0)),"")</f>
        <v/>
      </c>
      <c r="AA13" s="3"/>
      <c r="AB13" s="3"/>
      <c r="AC13" s="3"/>
      <c r="AD13" s="3"/>
      <c r="AE13" s="3"/>
      <c r="AF13" s="9" t="str">
        <f aca="false">IF(AND((IF(ISNUMBER(R13)+ISTEXT(R13),1,0)+IF(ISNUMBER(S13)+ISTEXT(S13),1,0)+IF(ISNUMBER(T13)+ISTEXT(T13),1,0)+IF(ISNUMBER(U13)+ISTEXT(U13),1,0)+IF(ISNUMBER(V13)+ISTEXT(V13),1,0)+IF(ISNUMBER(W13)+ISTEXT(W13),1,0)+IF(ISNUMBER(X13)+ISTEXT(X13),1,0)+IF(ISNUMBER(Y13)+ISTEXT(Y13),1,0))&gt;=4,IF(AA13&lt;&gt;"",1,0)=1),"COMPLETE",IF((IF(ISNUMBER(R13)+ISTEXT(R13),1,0)+IF(ISNUMBER(S13)+ISTEXT(S13),1,0)+IF(ISNUMBER(T13)+ISTEXT(T13),1,0)+IF(ISNUMBER(U13)+ISTEXT(U13),1,0)+IF(ISNUMBER(V13)+ISTEXT(V13),1,0)+IF(ISNUMBER(W13)+ISTEXT(W13),1,0)+IF(ISNUMBER(X13)+ISTEXT(X13),1,0)+IF(ISNUMBER(Y13)+ISTEXT(Y13),1,0))=0,"NOT STARTED","IN PROGRESS"))</f>
        <v>NOT STARTED</v>
      </c>
    </row>
    <row r="14" customFormat="false" ht="199.5" hidden="false" customHeight="true" outlineLevel="0" collapsed="false">
      <c r="A14" s="8" t="s">
        <v>165</v>
      </c>
      <c r="B14" s="4" t="s">
        <v>85</v>
      </c>
      <c r="C14" s="4" t="s">
        <v>166</v>
      </c>
      <c r="D14" s="4" t="s">
        <v>56</v>
      </c>
      <c r="E14" s="4" t="n">
        <v>3</v>
      </c>
      <c r="F14" s="4" t="s">
        <v>167</v>
      </c>
      <c r="G14" s="4" t="s">
        <v>58</v>
      </c>
      <c r="H14" s="4"/>
      <c r="I14" s="4"/>
      <c r="J14" s="4" t="s">
        <v>168</v>
      </c>
      <c r="K14" s="4" t="s">
        <v>100</v>
      </c>
      <c r="L14" s="4" t="s">
        <v>169</v>
      </c>
      <c r="M14" s="4" t="s">
        <v>170</v>
      </c>
      <c r="N14" s="4"/>
      <c r="O14" s="4"/>
      <c r="P14" s="4" t="s">
        <v>171</v>
      </c>
      <c r="Q14" s="4"/>
      <c r="R14" s="3"/>
      <c r="S14" s="3"/>
      <c r="T14" s="3"/>
      <c r="U14" s="3"/>
      <c r="V14" s="3"/>
      <c r="W14" s="3"/>
      <c r="X14" s="3"/>
      <c r="Y14" s="3"/>
      <c r="Z14" s="9" t="str">
        <f aca="false">IFERROR((IFERROR(VALUE(R14),0)+IFERROR(VALUE(S14),0)+IFERROR(VALUE(T14),0)+IFERROR(VALUE(U14),0)+IFERROR(VALUE(V14),0)+IFERROR(VALUE(W14),0)+IFERROR(VALUE(X14),0)+IFERROR(VALUE(Y14),0))/(IF(ISNUMBER(R14),1,0)+IF(ISNUMBER(S14),1,0)+IF(ISNUMBER(T14),1,0)+IF(ISNUMBER(U14),1,0)+IF(ISNUMBER(V14),1,0)+IF(ISNUMBER(W14),1,0)+IF(ISNUMBER(X14),1,0)+IF(ISNUMBER(Y14),1,0)),"")</f>
        <v/>
      </c>
      <c r="AA14" s="3"/>
      <c r="AB14" s="3"/>
      <c r="AC14" s="3"/>
      <c r="AD14" s="3"/>
      <c r="AE14" s="3"/>
      <c r="AF14" s="9" t="str">
        <f aca="false">IF(AND((IF(ISNUMBER(R14)+ISTEXT(R14),1,0)+IF(ISNUMBER(S14)+ISTEXT(S14),1,0)+IF(ISNUMBER(T14)+ISTEXT(T14),1,0)+IF(ISNUMBER(U14)+ISTEXT(U14),1,0)+IF(ISNUMBER(V14)+ISTEXT(V14),1,0)+IF(ISNUMBER(W14)+ISTEXT(W14),1,0)+IF(ISNUMBER(X14)+ISTEXT(X14),1,0)+IF(ISNUMBER(Y14)+ISTEXT(Y14),1,0))&gt;=4,IF(AA14&lt;&gt;"",1,0)=1),"COMPLETE",IF((IF(ISNUMBER(R14)+ISTEXT(R14),1,0)+IF(ISNUMBER(S14)+ISTEXT(S14),1,0)+IF(ISNUMBER(T14)+ISTEXT(T14),1,0)+IF(ISNUMBER(U14)+ISTEXT(U14),1,0)+IF(ISNUMBER(V14)+ISTEXT(V14),1,0)+IF(ISNUMBER(W14)+ISTEXT(W14),1,0)+IF(ISNUMBER(X14)+ISTEXT(X14),1,0)+IF(ISNUMBER(Y14)+ISTEXT(Y14),1,0))=0,"NOT STARTED","IN PROGRESS"))</f>
        <v>NOT STARTED</v>
      </c>
    </row>
    <row r="15" customFormat="false" ht="199.5" hidden="false" customHeight="true" outlineLevel="0" collapsed="false">
      <c r="A15" s="8" t="s">
        <v>172</v>
      </c>
      <c r="B15" s="4" t="s">
        <v>85</v>
      </c>
      <c r="C15" s="4" t="s">
        <v>173</v>
      </c>
      <c r="D15" s="4" t="s">
        <v>56</v>
      </c>
      <c r="E15" s="4" t="n">
        <v>4</v>
      </c>
      <c r="F15" s="4" t="s">
        <v>174</v>
      </c>
      <c r="G15" s="4" t="s">
        <v>58</v>
      </c>
      <c r="H15" s="4"/>
      <c r="I15" s="4"/>
      <c r="J15" s="4" t="s">
        <v>175</v>
      </c>
      <c r="K15" s="4" t="s">
        <v>176</v>
      </c>
      <c r="L15" s="4" t="s">
        <v>177</v>
      </c>
      <c r="M15" s="4" t="s">
        <v>178</v>
      </c>
      <c r="N15" s="4"/>
      <c r="O15" s="4"/>
      <c r="P15" s="4" t="s">
        <v>179</v>
      </c>
      <c r="Q15" s="4"/>
      <c r="R15" s="3"/>
      <c r="S15" s="3"/>
      <c r="T15" s="3"/>
      <c r="U15" s="3"/>
      <c r="V15" s="3"/>
      <c r="W15" s="3"/>
      <c r="X15" s="3"/>
      <c r="Y15" s="3"/>
      <c r="Z15" s="9" t="str">
        <f aca="false">IFERROR((IFERROR(VALUE(R15),0)+IFERROR(VALUE(S15),0)+IFERROR(VALUE(T15),0)+IFERROR(VALUE(U15),0)+IFERROR(VALUE(V15),0)+IFERROR(VALUE(W15),0)+IFERROR(VALUE(X15),0)+IFERROR(VALUE(Y15),0))/(IF(ISNUMBER(R15),1,0)+IF(ISNUMBER(S15),1,0)+IF(ISNUMBER(T15),1,0)+IF(ISNUMBER(U15),1,0)+IF(ISNUMBER(V15),1,0)+IF(ISNUMBER(W15),1,0)+IF(ISNUMBER(X15),1,0)+IF(ISNUMBER(Y15),1,0)),"")</f>
        <v/>
      </c>
      <c r="AA15" s="3"/>
      <c r="AB15" s="3"/>
      <c r="AC15" s="3"/>
      <c r="AD15" s="3"/>
      <c r="AE15" s="3"/>
      <c r="AF15" s="9" t="str">
        <f aca="false">IF(AND((IF(ISNUMBER(R15)+ISTEXT(R15),1,0)+IF(ISNUMBER(S15)+ISTEXT(S15),1,0)+IF(ISNUMBER(T15)+ISTEXT(T15),1,0)+IF(ISNUMBER(U15)+ISTEXT(U15),1,0)+IF(ISNUMBER(V15)+ISTEXT(V15),1,0)+IF(ISNUMBER(W15)+ISTEXT(W15),1,0)+IF(ISNUMBER(X15)+ISTEXT(X15),1,0)+IF(ISNUMBER(Y15)+ISTEXT(Y15),1,0))&gt;=4,IF(AA15&lt;&gt;"",1,0)=1),"COMPLETE",IF((IF(ISNUMBER(R15)+ISTEXT(R15),1,0)+IF(ISNUMBER(S15)+ISTEXT(S15),1,0)+IF(ISNUMBER(T15)+ISTEXT(T15),1,0)+IF(ISNUMBER(U15)+ISTEXT(U15),1,0)+IF(ISNUMBER(V15)+ISTEXT(V15),1,0)+IF(ISNUMBER(W15)+ISTEXT(W15),1,0)+IF(ISNUMBER(X15)+ISTEXT(X15),1,0)+IF(ISNUMBER(Y15)+ISTEXT(Y15),1,0))=0,"NOT STARTED","IN PROGRESS"))</f>
        <v>NOT STARTED</v>
      </c>
    </row>
    <row r="16" customFormat="false" ht="199.5" hidden="false" customHeight="true" outlineLevel="0" collapsed="false">
      <c r="A16" s="8" t="s">
        <v>180</v>
      </c>
      <c r="B16" s="4" t="s">
        <v>85</v>
      </c>
      <c r="C16" s="4" t="s">
        <v>181</v>
      </c>
      <c r="D16" s="4" t="s">
        <v>56</v>
      </c>
      <c r="E16" s="4" t="n">
        <v>4</v>
      </c>
      <c r="F16" s="4" t="s">
        <v>182</v>
      </c>
      <c r="G16" s="4" t="s">
        <v>58</v>
      </c>
      <c r="H16" s="4"/>
      <c r="I16" s="4"/>
      <c r="J16" s="4" t="s">
        <v>183</v>
      </c>
      <c r="K16" s="4" t="s">
        <v>184</v>
      </c>
      <c r="L16" s="4" t="s">
        <v>145</v>
      </c>
      <c r="M16" s="4" t="s">
        <v>185</v>
      </c>
      <c r="N16" s="4"/>
      <c r="O16" s="4"/>
      <c r="P16" s="4" t="s">
        <v>186</v>
      </c>
      <c r="Q16" s="4"/>
      <c r="R16" s="3"/>
      <c r="S16" s="3"/>
      <c r="T16" s="3"/>
      <c r="U16" s="3"/>
      <c r="V16" s="3"/>
      <c r="W16" s="3"/>
      <c r="X16" s="3"/>
      <c r="Y16" s="3"/>
      <c r="Z16" s="9" t="str">
        <f aca="false">IFERROR((IFERROR(VALUE(R16),0)+IFERROR(VALUE(S16),0)+IFERROR(VALUE(T16),0)+IFERROR(VALUE(U16),0)+IFERROR(VALUE(V16),0)+IFERROR(VALUE(W16),0)+IFERROR(VALUE(X16),0)+IFERROR(VALUE(Y16),0))/(IF(ISNUMBER(R16),1,0)+IF(ISNUMBER(S16),1,0)+IF(ISNUMBER(T16),1,0)+IF(ISNUMBER(U16),1,0)+IF(ISNUMBER(V16),1,0)+IF(ISNUMBER(W16),1,0)+IF(ISNUMBER(X16),1,0)+IF(ISNUMBER(Y16),1,0)),"")</f>
        <v/>
      </c>
      <c r="AA16" s="3"/>
      <c r="AB16" s="3"/>
      <c r="AC16" s="3"/>
      <c r="AD16" s="3"/>
      <c r="AE16" s="3"/>
      <c r="AF16" s="9" t="str">
        <f aca="false">IF(AND((IF(ISNUMBER(R16)+ISTEXT(R16),1,0)+IF(ISNUMBER(S16)+ISTEXT(S16),1,0)+IF(ISNUMBER(T16)+ISTEXT(T16),1,0)+IF(ISNUMBER(U16)+ISTEXT(U16),1,0)+IF(ISNUMBER(V16)+ISTEXT(V16),1,0)+IF(ISNUMBER(W16)+ISTEXT(W16),1,0)+IF(ISNUMBER(X16)+ISTEXT(X16),1,0)+IF(ISNUMBER(Y16)+ISTEXT(Y16),1,0))&gt;=4,IF(AA16&lt;&gt;"",1,0)=1),"COMPLETE",IF((IF(ISNUMBER(R16)+ISTEXT(R16),1,0)+IF(ISNUMBER(S16)+ISTEXT(S16),1,0)+IF(ISNUMBER(T16)+ISTEXT(T16),1,0)+IF(ISNUMBER(U16)+ISTEXT(U16),1,0)+IF(ISNUMBER(V16)+ISTEXT(V16),1,0)+IF(ISNUMBER(W16)+ISTEXT(W16),1,0)+IF(ISNUMBER(X16)+ISTEXT(X16),1,0)+IF(ISNUMBER(Y16)+ISTEXT(Y16),1,0))=0,"NOT STARTED","IN PROGRESS"))</f>
        <v>NOT STARTED</v>
      </c>
    </row>
    <row r="17" customFormat="false" ht="199.5" hidden="false" customHeight="true" outlineLevel="0" collapsed="false">
      <c r="A17" s="8" t="s">
        <v>187</v>
      </c>
      <c r="B17" s="4" t="s">
        <v>85</v>
      </c>
      <c r="C17" s="4" t="s">
        <v>188</v>
      </c>
      <c r="D17" s="4" t="s">
        <v>56</v>
      </c>
      <c r="E17" s="4" t="n">
        <v>4</v>
      </c>
      <c r="F17" s="4" t="s">
        <v>189</v>
      </c>
      <c r="G17" s="4" t="s">
        <v>58</v>
      </c>
      <c r="H17" s="4"/>
      <c r="I17" s="4"/>
      <c r="J17" s="4" t="s">
        <v>190</v>
      </c>
      <c r="K17" s="4" t="s">
        <v>191</v>
      </c>
      <c r="L17" s="4" t="s">
        <v>192</v>
      </c>
      <c r="M17" s="4" t="s">
        <v>193</v>
      </c>
      <c r="N17" s="4"/>
      <c r="O17" s="4"/>
      <c r="P17" s="4" t="s">
        <v>194</v>
      </c>
      <c r="Q17" s="4"/>
      <c r="R17" s="3"/>
      <c r="S17" s="3"/>
      <c r="T17" s="3"/>
      <c r="U17" s="3"/>
      <c r="V17" s="3"/>
      <c r="W17" s="3"/>
      <c r="X17" s="3"/>
      <c r="Y17" s="3"/>
      <c r="Z17" s="9" t="str">
        <f aca="false">IFERROR((IFERROR(VALUE(R17),0)+IFERROR(VALUE(S17),0)+IFERROR(VALUE(T17),0)+IFERROR(VALUE(U17),0)+IFERROR(VALUE(V17),0)+IFERROR(VALUE(W17),0)+IFERROR(VALUE(X17),0)+IFERROR(VALUE(Y17),0))/(IF(ISNUMBER(R17),1,0)+IF(ISNUMBER(S17),1,0)+IF(ISNUMBER(T17),1,0)+IF(ISNUMBER(U17),1,0)+IF(ISNUMBER(V17),1,0)+IF(ISNUMBER(W17),1,0)+IF(ISNUMBER(X17),1,0)+IF(ISNUMBER(Y17),1,0)),"")</f>
        <v/>
      </c>
      <c r="AA17" s="3"/>
      <c r="AB17" s="3"/>
      <c r="AC17" s="3"/>
      <c r="AD17" s="3"/>
      <c r="AE17" s="3"/>
      <c r="AF17" s="9" t="str">
        <f aca="false">IF(AND((IF(ISNUMBER(R17)+ISTEXT(R17),1,0)+IF(ISNUMBER(S17)+ISTEXT(S17),1,0)+IF(ISNUMBER(T17)+ISTEXT(T17),1,0)+IF(ISNUMBER(U17)+ISTEXT(U17),1,0)+IF(ISNUMBER(V17)+ISTEXT(V17),1,0)+IF(ISNUMBER(W17)+ISTEXT(W17),1,0)+IF(ISNUMBER(X17)+ISTEXT(X17),1,0)+IF(ISNUMBER(Y17)+ISTEXT(Y17),1,0))&gt;=4,IF(AA17&lt;&gt;"",1,0)=1),"COMPLETE",IF((IF(ISNUMBER(R17)+ISTEXT(R17),1,0)+IF(ISNUMBER(S17)+ISTEXT(S17),1,0)+IF(ISNUMBER(T17)+ISTEXT(T17),1,0)+IF(ISNUMBER(U17)+ISTEXT(U17),1,0)+IF(ISNUMBER(V17)+ISTEXT(V17),1,0)+IF(ISNUMBER(W17)+ISTEXT(W17),1,0)+IF(ISNUMBER(X17)+ISTEXT(X17),1,0)+IF(ISNUMBER(Y17)+ISTEXT(Y17),1,0))=0,"NOT STARTED","IN PROGRESS"))</f>
        <v>NOT STARTED</v>
      </c>
    </row>
    <row r="18" customFormat="false" ht="199.5" hidden="false" customHeight="true" outlineLevel="0" collapsed="false">
      <c r="A18" s="8" t="s">
        <v>195</v>
      </c>
      <c r="B18" s="4" t="s">
        <v>85</v>
      </c>
      <c r="C18" s="4" t="s">
        <v>196</v>
      </c>
      <c r="D18" s="4" t="s">
        <v>67</v>
      </c>
      <c r="E18" s="4" t="n">
        <v>2</v>
      </c>
      <c r="F18" s="4" t="s">
        <v>197</v>
      </c>
      <c r="G18" s="4" t="s">
        <v>58</v>
      </c>
      <c r="H18" s="4"/>
      <c r="I18" s="4"/>
      <c r="J18" s="4" t="s">
        <v>198</v>
      </c>
      <c r="K18" s="4"/>
      <c r="L18" s="4"/>
      <c r="M18" s="4" t="s">
        <v>117</v>
      </c>
      <c r="N18" s="4" t="s">
        <v>199</v>
      </c>
      <c r="O18" s="4"/>
      <c r="P18" s="4" t="s">
        <v>200</v>
      </c>
      <c r="Q18" s="4"/>
      <c r="R18" s="3"/>
      <c r="S18" s="3"/>
      <c r="T18" s="3"/>
      <c r="U18" s="3"/>
      <c r="V18" s="3"/>
      <c r="W18" s="3"/>
      <c r="X18" s="3"/>
      <c r="Y18" s="3"/>
      <c r="Z18" s="9" t="str">
        <f aca="false">IFERROR((IFERROR(VALUE(R18),0)+IFERROR(VALUE(S18),0)+IFERROR(VALUE(T18),0)+IFERROR(VALUE(U18),0)+IFERROR(VALUE(V18),0)+IFERROR(VALUE(W18),0)+IFERROR(VALUE(X18),0)+IFERROR(VALUE(Y18),0))/(IF(ISNUMBER(R18),1,0)+IF(ISNUMBER(S18),1,0)+IF(ISNUMBER(T18),1,0)+IF(ISNUMBER(U18),1,0)+IF(ISNUMBER(V18),1,0)+IF(ISNUMBER(W18),1,0)+IF(ISNUMBER(X18),1,0)+IF(ISNUMBER(Y18),1,0)),"")</f>
        <v/>
      </c>
      <c r="AA18" s="3"/>
      <c r="AB18" s="3"/>
      <c r="AC18" s="3"/>
      <c r="AD18" s="3"/>
      <c r="AE18" s="3"/>
      <c r="AF18" s="9" t="str">
        <f aca="false">IF(AND((IF(ISNUMBER(R18)+ISTEXT(R18),1,0)+IF(ISNUMBER(S18)+ISTEXT(S18),1,0)+IF(ISNUMBER(T18)+ISTEXT(T18),1,0)+IF(ISNUMBER(U18)+ISTEXT(U18),1,0)+IF(ISNUMBER(V18)+ISTEXT(V18),1,0)+IF(ISNUMBER(W18)+ISTEXT(W18),1,0)+IF(ISNUMBER(X18)+ISTEXT(X18),1,0)+IF(ISNUMBER(Y18)+ISTEXT(Y18),1,0))&gt;=4,IF(AA18&lt;&gt;"",1,0)=1),"COMPLETE",IF((IF(ISNUMBER(R18)+ISTEXT(R18),1,0)+IF(ISNUMBER(S18)+ISTEXT(S18),1,0)+IF(ISNUMBER(T18)+ISTEXT(T18),1,0)+IF(ISNUMBER(U18)+ISTEXT(U18),1,0)+IF(ISNUMBER(V18)+ISTEXT(V18),1,0)+IF(ISNUMBER(W18)+ISTEXT(W18),1,0)+IF(ISNUMBER(X18)+ISTEXT(X18),1,0)+IF(ISNUMBER(Y18)+ISTEXT(Y18),1,0))=0,"NOT STARTED","IN PROGRESS"))</f>
        <v>NOT STARTED</v>
      </c>
    </row>
    <row r="19" customFormat="false" ht="199.5" hidden="false" customHeight="true" outlineLevel="0" collapsed="false">
      <c r="A19" s="8" t="s">
        <v>201</v>
      </c>
      <c r="B19" s="4" t="s">
        <v>85</v>
      </c>
      <c r="C19" s="4" t="s">
        <v>202</v>
      </c>
      <c r="D19" s="4" t="s">
        <v>67</v>
      </c>
      <c r="E19" s="4" t="n">
        <v>3</v>
      </c>
      <c r="F19" s="4" t="s">
        <v>203</v>
      </c>
      <c r="G19" s="4" t="s">
        <v>58</v>
      </c>
      <c r="H19" s="4"/>
      <c r="I19" s="4"/>
      <c r="J19" s="4" t="s">
        <v>204</v>
      </c>
      <c r="K19" s="4"/>
      <c r="L19" s="4"/>
      <c r="M19" s="4" t="s">
        <v>205</v>
      </c>
      <c r="N19" s="4" t="s">
        <v>206</v>
      </c>
      <c r="O19" s="4"/>
      <c r="P19" s="4" t="s">
        <v>207</v>
      </c>
      <c r="Q19" s="4"/>
      <c r="R19" s="3"/>
      <c r="S19" s="3"/>
      <c r="T19" s="3"/>
      <c r="U19" s="3"/>
      <c r="V19" s="3"/>
      <c r="W19" s="3"/>
      <c r="X19" s="3"/>
      <c r="Y19" s="3"/>
      <c r="Z19" s="9" t="str">
        <f aca="false">IFERROR((IFERROR(VALUE(R19),0)+IFERROR(VALUE(S19),0)+IFERROR(VALUE(T19),0)+IFERROR(VALUE(U19),0)+IFERROR(VALUE(V19),0)+IFERROR(VALUE(W19),0)+IFERROR(VALUE(X19),0)+IFERROR(VALUE(Y19),0))/(IF(ISNUMBER(R19),1,0)+IF(ISNUMBER(S19),1,0)+IF(ISNUMBER(T19),1,0)+IF(ISNUMBER(U19),1,0)+IF(ISNUMBER(V19),1,0)+IF(ISNUMBER(W19),1,0)+IF(ISNUMBER(X19),1,0)+IF(ISNUMBER(Y19),1,0)),"")</f>
        <v/>
      </c>
      <c r="AA19" s="3"/>
      <c r="AB19" s="3"/>
      <c r="AC19" s="3"/>
      <c r="AD19" s="3"/>
      <c r="AE19" s="3"/>
      <c r="AF19" s="9" t="str">
        <f aca="false">IF(AND((IF(ISNUMBER(R19)+ISTEXT(R19),1,0)+IF(ISNUMBER(S19)+ISTEXT(S19),1,0)+IF(ISNUMBER(T19)+ISTEXT(T19),1,0)+IF(ISNUMBER(U19)+ISTEXT(U19),1,0)+IF(ISNUMBER(V19)+ISTEXT(V19),1,0)+IF(ISNUMBER(W19)+ISTEXT(W19),1,0)+IF(ISNUMBER(X19)+ISTEXT(X19),1,0)+IF(ISNUMBER(Y19)+ISTEXT(Y19),1,0))&gt;=4,IF(AA19&lt;&gt;"",1,0)=1),"COMPLETE",IF((IF(ISNUMBER(R19)+ISTEXT(R19),1,0)+IF(ISNUMBER(S19)+ISTEXT(S19),1,0)+IF(ISNUMBER(T19)+ISTEXT(T19),1,0)+IF(ISNUMBER(U19)+ISTEXT(U19),1,0)+IF(ISNUMBER(V19)+ISTEXT(V19),1,0)+IF(ISNUMBER(W19)+ISTEXT(W19),1,0)+IF(ISNUMBER(X19)+ISTEXT(X19),1,0)+IF(ISNUMBER(Y19)+ISTEXT(Y19),1,0))=0,"NOT STARTED","IN PROGRESS"))</f>
        <v>NOT STARTED</v>
      </c>
    </row>
    <row r="20" customFormat="false" ht="199.5" hidden="false" customHeight="true" outlineLevel="0" collapsed="false">
      <c r="A20" s="8" t="s">
        <v>208</v>
      </c>
      <c r="B20" s="4" t="s">
        <v>85</v>
      </c>
      <c r="C20" s="4" t="s">
        <v>66</v>
      </c>
      <c r="D20" s="4" t="s">
        <v>209</v>
      </c>
      <c r="E20" s="4" t="n">
        <v>4</v>
      </c>
      <c r="F20" s="4" t="s">
        <v>210</v>
      </c>
      <c r="G20" s="4" t="s">
        <v>58</v>
      </c>
      <c r="H20" s="4"/>
      <c r="I20" s="4"/>
      <c r="J20" s="4" t="s">
        <v>211</v>
      </c>
      <c r="K20" s="4"/>
      <c r="L20" s="4"/>
      <c r="M20" s="4" t="s">
        <v>212</v>
      </c>
      <c r="N20" s="4"/>
      <c r="O20" s="4" t="s">
        <v>213</v>
      </c>
      <c r="P20" s="4" t="s">
        <v>214</v>
      </c>
      <c r="Q20" s="4" t="s">
        <v>215</v>
      </c>
      <c r="R20" s="3"/>
      <c r="S20" s="3"/>
      <c r="T20" s="3"/>
      <c r="U20" s="3"/>
      <c r="V20" s="3"/>
      <c r="W20" s="3"/>
      <c r="X20" s="3"/>
      <c r="Y20" s="3"/>
      <c r="Z20" s="9" t="str">
        <f aca="false">IFERROR((IFERROR(VALUE(R20),0)+IFERROR(VALUE(S20),0)+IFERROR(VALUE(T20),0)+IFERROR(VALUE(U20),0)+IFERROR(VALUE(V20),0)+IFERROR(VALUE(W20),0)+IFERROR(VALUE(X20),0)+IFERROR(VALUE(Y20),0))/(IF(ISNUMBER(R20),1,0)+IF(ISNUMBER(S20),1,0)+IF(ISNUMBER(T20),1,0)+IF(ISNUMBER(U20),1,0)+IF(ISNUMBER(V20),1,0)+IF(ISNUMBER(W20),1,0)+IF(ISNUMBER(X20),1,0)+IF(ISNUMBER(Y20),1,0)),"")</f>
        <v/>
      </c>
      <c r="AA20" s="3"/>
      <c r="AB20" s="3"/>
      <c r="AC20" s="3"/>
      <c r="AD20" s="3"/>
      <c r="AE20" s="3"/>
      <c r="AF20" s="9" t="str">
        <f aca="false">IF(AND((IF(ISNUMBER(R20)+ISTEXT(R20),1,0)+IF(ISNUMBER(S20)+ISTEXT(S20),1,0)+IF(ISNUMBER(T20)+ISTEXT(T20),1,0)+IF(ISNUMBER(U20)+ISTEXT(U20),1,0)+IF(ISNUMBER(V20)+ISTEXT(V20),1,0)+IF(ISNUMBER(W20)+ISTEXT(W20),1,0)+IF(ISNUMBER(X20)+ISTEXT(X20),1,0)+IF(ISNUMBER(Y20)+ISTEXT(Y20),1,0))&gt;=4,IF(AA20&lt;&gt;"",1,0)=1),"COMPLETE",IF((IF(ISNUMBER(R20)+ISTEXT(R20),1,0)+IF(ISNUMBER(S20)+ISTEXT(S20),1,0)+IF(ISNUMBER(T20)+ISTEXT(T20),1,0)+IF(ISNUMBER(U20)+ISTEXT(U20),1,0)+IF(ISNUMBER(V20)+ISTEXT(V20),1,0)+IF(ISNUMBER(W20)+ISTEXT(W20),1,0)+IF(ISNUMBER(X20)+ISTEXT(X20),1,0)+IF(ISNUMBER(Y20)+ISTEXT(Y20),1,0))=0,"NOT STARTED","IN PROGRESS"))</f>
        <v>NOT STARTED</v>
      </c>
    </row>
    <row r="21" customFormat="false" ht="199.5" hidden="false" customHeight="true" outlineLevel="0" collapsed="false">
      <c r="A21" s="8" t="s">
        <v>216</v>
      </c>
      <c r="B21" s="4" t="s">
        <v>85</v>
      </c>
      <c r="C21" s="4" t="s">
        <v>217</v>
      </c>
      <c r="D21" s="4" t="s">
        <v>209</v>
      </c>
      <c r="E21" s="4" t="n">
        <v>3</v>
      </c>
      <c r="F21" s="4" t="s">
        <v>218</v>
      </c>
      <c r="G21" s="4" t="s">
        <v>58</v>
      </c>
      <c r="H21" s="4"/>
      <c r="I21" s="4"/>
      <c r="J21" s="4" t="s">
        <v>219</v>
      </c>
      <c r="K21" s="4" t="s">
        <v>220</v>
      </c>
      <c r="L21" s="4"/>
      <c r="M21" s="4"/>
      <c r="N21" s="4" t="s">
        <v>101</v>
      </c>
      <c r="O21" s="4" t="s">
        <v>221</v>
      </c>
      <c r="P21" s="4" t="s">
        <v>222</v>
      </c>
      <c r="Q21" s="4" t="s">
        <v>223</v>
      </c>
      <c r="R21" s="3"/>
      <c r="S21" s="3"/>
      <c r="T21" s="3"/>
      <c r="U21" s="3"/>
      <c r="V21" s="3"/>
      <c r="W21" s="3"/>
      <c r="X21" s="3"/>
      <c r="Y21" s="3"/>
      <c r="Z21" s="9" t="str">
        <f aca="false">IFERROR((IFERROR(VALUE(R21),0)+IFERROR(VALUE(S21),0)+IFERROR(VALUE(T21),0)+IFERROR(VALUE(U21),0)+IFERROR(VALUE(V21),0)+IFERROR(VALUE(W21),0)+IFERROR(VALUE(X21),0)+IFERROR(VALUE(Y21),0))/(IF(ISNUMBER(R21),1,0)+IF(ISNUMBER(S21),1,0)+IF(ISNUMBER(T21),1,0)+IF(ISNUMBER(U21),1,0)+IF(ISNUMBER(V21),1,0)+IF(ISNUMBER(W21),1,0)+IF(ISNUMBER(X21),1,0)+IF(ISNUMBER(Y21),1,0)),"")</f>
        <v/>
      </c>
      <c r="AA21" s="3"/>
      <c r="AB21" s="3"/>
      <c r="AC21" s="3"/>
      <c r="AD21" s="3"/>
      <c r="AE21" s="3"/>
      <c r="AF21" s="9" t="str">
        <f aca="false">IF(AND((IF(ISNUMBER(R21)+ISTEXT(R21),1,0)+IF(ISNUMBER(S21)+ISTEXT(S21),1,0)+IF(ISNUMBER(T21)+ISTEXT(T21),1,0)+IF(ISNUMBER(U21)+ISTEXT(U21),1,0)+IF(ISNUMBER(V21)+ISTEXT(V21),1,0)+IF(ISNUMBER(W21)+ISTEXT(W21),1,0)+IF(ISNUMBER(X21)+ISTEXT(X21),1,0)+IF(ISNUMBER(Y21)+ISTEXT(Y21),1,0))&gt;=4,IF(AA21&lt;&gt;"",1,0)=1),"COMPLETE",IF((IF(ISNUMBER(R21)+ISTEXT(R21),1,0)+IF(ISNUMBER(S21)+ISTEXT(S21),1,0)+IF(ISNUMBER(T21)+ISTEXT(T21),1,0)+IF(ISNUMBER(U21)+ISTEXT(U21),1,0)+IF(ISNUMBER(V21)+ISTEXT(V21),1,0)+IF(ISNUMBER(W21)+ISTEXT(W21),1,0)+IF(ISNUMBER(X21)+ISTEXT(X21),1,0)+IF(ISNUMBER(Y21)+ISTEXT(Y21),1,0))=0,"NOT STARTED","IN PROGRESS"))</f>
        <v>NOT STARTED</v>
      </c>
    </row>
    <row r="22" customFormat="false" ht="199.5" hidden="false" customHeight="true" outlineLevel="0" collapsed="false">
      <c r="A22" s="8" t="s">
        <v>224</v>
      </c>
      <c r="B22" s="4" t="s">
        <v>85</v>
      </c>
      <c r="C22" s="4" t="s">
        <v>225</v>
      </c>
      <c r="D22" s="4" t="s">
        <v>76</v>
      </c>
      <c r="E22" s="4" t="n">
        <v>5</v>
      </c>
      <c r="F22" s="4" t="s">
        <v>226</v>
      </c>
      <c r="G22" s="4" t="s">
        <v>58</v>
      </c>
      <c r="H22" s="4"/>
      <c r="I22" s="4"/>
      <c r="J22" s="4" t="s">
        <v>227</v>
      </c>
      <c r="K22" s="4" t="s">
        <v>228</v>
      </c>
      <c r="L22" s="4" t="s">
        <v>154</v>
      </c>
      <c r="M22" s="4" t="s">
        <v>229</v>
      </c>
      <c r="N22" s="4"/>
      <c r="O22" s="4" t="s">
        <v>81</v>
      </c>
      <c r="P22" s="4" t="s">
        <v>230</v>
      </c>
      <c r="Q22" s="4" t="s">
        <v>231</v>
      </c>
      <c r="R22" s="3"/>
      <c r="S22" s="3"/>
      <c r="T22" s="3"/>
      <c r="U22" s="3"/>
      <c r="V22" s="3"/>
      <c r="W22" s="3"/>
      <c r="X22" s="3"/>
      <c r="Y22" s="3"/>
      <c r="Z22" s="9" t="str">
        <f aca="false">IFERROR((IFERROR(VALUE(R22),0)+IFERROR(VALUE(S22),0)+IFERROR(VALUE(T22),0)+IFERROR(VALUE(U22),0)+IFERROR(VALUE(V22),0)+IFERROR(VALUE(W22),0)+IFERROR(VALUE(X22),0)+IFERROR(VALUE(Y22),0))/(IF(ISNUMBER(R22),1,0)+IF(ISNUMBER(S22),1,0)+IF(ISNUMBER(T22),1,0)+IF(ISNUMBER(U22),1,0)+IF(ISNUMBER(V22),1,0)+IF(ISNUMBER(W22),1,0)+IF(ISNUMBER(X22),1,0)+IF(ISNUMBER(Y22),1,0)),"")</f>
        <v/>
      </c>
      <c r="AA22" s="3"/>
      <c r="AB22" s="3"/>
      <c r="AC22" s="3"/>
      <c r="AD22" s="3"/>
      <c r="AE22" s="3"/>
      <c r="AF22" s="9" t="str">
        <f aca="false">IF(AND((IF(ISNUMBER(R22)+ISTEXT(R22),1,0)+IF(ISNUMBER(S22)+ISTEXT(S22),1,0)+IF(ISNUMBER(T22)+ISTEXT(T22),1,0)+IF(ISNUMBER(U22)+ISTEXT(U22),1,0)+IF(ISNUMBER(V22)+ISTEXT(V22),1,0)+IF(ISNUMBER(W22)+ISTEXT(W22),1,0)+IF(ISNUMBER(X22)+ISTEXT(X22),1,0)+IF(ISNUMBER(Y22)+ISTEXT(Y22),1,0))&gt;=4,IF(AA22&lt;&gt;"",1,0)=1),"COMPLETE",IF((IF(ISNUMBER(R22)+ISTEXT(R22),1,0)+IF(ISNUMBER(S22)+ISTEXT(S22),1,0)+IF(ISNUMBER(T22)+ISTEXT(T22),1,0)+IF(ISNUMBER(U22)+ISTEXT(U22),1,0)+IF(ISNUMBER(V22)+ISTEXT(V22),1,0)+IF(ISNUMBER(W22)+ISTEXT(W22),1,0)+IF(ISNUMBER(X22)+ISTEXT(X22),1,0)+IF(ISNUMBER(Y22)+ISTEXT(Y22),1,0))=0,"NOT STARTED","IN PROGRESS"))</f>
        <v>NOT STARTED</v>
      </c>
    </row>
  </sheetData>
  <conditionalFormatting sqref="R2:R22">
    <cfRule type="expression" priority="2" aboveAverage="0" equalAverage="0" bottom="0" percent="0" rank="0" text="" dxfId="0">
      <formula>AND(OR(R2=1,R2=2,R2=5),AA2="")</formula>
    </cfRule>
  </conditionalFormatting>
  <conditionalFormatting sqref="S2:S22">
    <cfRule type="expression" priority="3" aboveAverage="0" equalAverage="0" bottom="0" percent="0" rank="0" text="" dxfId="0">
      <formula>AND(OR(S2=1,S2=2,S2=5),AA2="")</formula>
    </cfRule>
  </conditionalFormatting>
  <conditionalFormatting sqref="T2:T22">
    <cfRule type="expression" priority="4" aboveAverage="0" equalAverage="0" bottom="0" percent="0" rank="0" text="" dxfId="0">
      <formula>AND(OR(T2=1,T2=2,T2=5),AA2="")</formula>
    </cfRule>
  </conditionalFormatting>
  <conditionalFormatting sqref="U2:U22">
    <cfRule type="expression" priority="5" aboveAverage="0" equalAverage="0" bottom="0" percent="0" rank="0" text="" dxfId="0">
      <formula>AND(OR(U2=1,U2=2,U2=5),AA2="")</formula>
    </cfRule>
  </conditionalFormatting>
  <conditionalFormatting sqref="V2:V22">
    <cfRule type="expression" priority="6" aboveAverage="0" equalAverage="0" bottom="0" percent="0" rank="0" text="" dxfId="0">
      <formula>AND(OR(V2=1,V2=2,V2=5),AA2="")</formula>
    </cfRule>
  </conditionalFormatting>
  <conditionalFormatting sqref="W2:W22">
    <cfRule type="expression" priority="7" aboveAverage="0" equalAverage="0" bottom="0" percent="0" rank="0" text="" dxfId="0">
      <formula>AND(OR(W2=1,W2=2,W2=5),AA2="")</formula>
    </cfRule>
  </conditionalFormatting>
  <conditionalFormatting sqref="X2:X22">
    <cfRule type="expression" priority="8" aboveAverage="0" equalAverage="0" bottom="0" percent="0" rank="0" text="" dxfId="0">
      <formula>AND(OR(X2=1,X2=2,X2=5),AA2="")</formula>
    </cfRule>
  </conditionalFormatting>
  <conditionalFormatting sqref="Y2:Y22">
    <cfRule type="expression" priority="9" aboveAverage="0" equalAverage="0" bottom="0" percent="0" rank="0" text="" dxfId="0">
      <formula>AND(OR(Y2=1,Y2=2,Y2=5),AA2="")</formula>
    </cfRule>
  </conditionalFormatting>
  <conditionalFormatting sqref="AF2:AF22">
    <cfRule type="cellIs" priority="10" operator="equal" aboveAverage="0" equalAverage="0" bottom="0" percent="0" rank="0" text="" dxfId="1">
      <formula>"COMPLETE"</formula>
    </cfRule>
  </conditionalFormatting>
  <dataValidations count="3">
    <dataValidation allowBlank="true" errorStyle="stop" errorTitle="Invalid score" operator="between" showDropDown="false" showErrorMessage="false" showInputMessage="false" sqref="R2:Y22" type="list">
      <formula1>"1,2,3,4,5,N/A"</formula1>
      <formula2>0</formula2>
    </dataValidation>
    <dataValidation allowBlank="true" errorStyle="stop" operator="between" showDropDown="false" showErrorMessage="false" showInputMessage="false" sqref="AB2:AB22" type="list">
      <formula1>"1,2,3,4,5"</formula1>
      <formula2>0</formula2>
    </dataValidation>
    <dataValidation allowBlank="true" errorStyle="stop" operator="between" showDropDown="false" showErrorMessage="false" showInputMessage="false" sqref="AD2:AD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5" min="3" style="0" width="30"/>
  </cols>
  <sheetData>
    <row r="1" customFormat="false" ht="19.7" hidden="false" customHeight="false" outlineLevel="0" collapsed="false">
      <c r="A1" s="10" t="s">
        <v>232</v>
      </c>
      <c r="B1" s="10"/>
      <c r="C1" s="10"/>
      <c r="D1" s="10"/>
      <c r="E1" s="10"/>
    </row>
    <row r="3" customFormat="false" ht="15" hidden="false" customHeight="false" outlineLevel="0" collapsed="false">
      <c r="A3" s="7" t="s">
        <v>233</v>
      </c>
      <c r="B3" s="7" t="s">
        <v>234</v>
      </c>
      <c r="C3" s="7" t="s">
        <v>235</v>
      </c>
      <c r="D3" s="7" t="s">
        <v>236</v>
      </c>
      <c r="E3" s="7" t="s">
        <v>237</v>
      </c>
    </row>
    <row r="4" customFormat="false" ht="79.5" hidden="false" customHeight="true" outlineLevel="0" collapsed="false">
      <c r="A4" s="11" t="s">
        <v>238</v>
      </c>
      <c r="B4" s="12" t="s">
        <v>239</v>
      </c>
      <c r="C4" s="12" t="s">
        <v>240</v>
      </c>
      <c r="D4" s="12" t="s">
        <v>241</v>
      </c>
      <c r="E4" s="12" t="s">
        <v>242</v>
      </c>
    </row>
    <row r="5" customFormat="false" ht="79.5" hidden="false" customHeight="true" outlineLevel="0" collapsed="false">
      <c r="A5" s="13" t="s">
        <v>243</v>
      </c>
      <c r="B5" s="14" t="s">
        <v>244</v>
      </c>
      <c r="C5" s="14" t="s">
        <v>245</v>
      </c>
      <c r="D5" s="14" t="s">
        <v>246</v>
      </c>
      <c r="E5" s="14" t="s">
        <v>247</v>
      </c>
    </row>
    <row r="6" customFormat="false" ht="79.5" hidden="false" customHeight="true" outlineLevel="0" collapsed="false">
      <c r="A6" s="11" t="s">
        <v>248</v>
      </c>
      <c r="B6" s="12" t="s">
        <v>249</v>
      </c>
      <c r="C6" s="12" t="s">
        <v>250</v>
      </c>
      <c r="D6" s="12" t="s">
        <v>251</v>
      </c>
      <c r="E6" s="12" t="s">
        <v>252</v>
      </c>
    </row>
    <row r="7" customFormat="false" ht="79.5" hidden="false" customHeight="true" outlineLevel="0" collapsed="false">
      <c r="A7" s="13" t="s">
        <v>253</v>
      </c>
      <c r="B7" s="14" t="s">
        <v>254</v>
      </c>
      <c r="C7" s="14" t="s">
        <v>255</v>
      </c>
      <c r="D7" s="14" t="s">
        <v>256</v>
      </c>
      <c r="E7" s="14" t="s">
        <v>257</v>
      </c>
    </row>
    <row r="8" customFormat="false" ht="79.5" hidden="false" customHeight="true" outlineLevel="0" collapsed="false">
      <c r="A8" s="11" t="s">
        <v>258</v>
      </c>
      <c r="B8" s="12" t="s">
        <v>259</v>
      </c>
      <c r="C8" s="12" t="s">
        <v>260</v>
      </c>
      <c r="D8" s="12" t="s">
        <v>261</v>
      </c>
      <c r="E8" s="12" t="s">
        <v>262</v>
      </c>
    </row>
    <row r="9" customFormat="false" ht="79.5" hidden="false" customHeight="true" outlineLevel="0" collapsed="false">
      <c r="A9" s="13" t="s">
        <v>263</v>
      </c>
      <c r="B9" s="14" t="s">
        <v>264</v>
      </c>
      <c r="C9" s="14" t="s">
        <v>265</v>
      </c>
      <c r="D9" s="14" t="s">
        <v>266</v>
      </c>
      <c r="E9" s="14" t="s">
        <v>267</v>
      </c>
    </row>
    <row r="10" customFormat="false" ht="79.5" hidden="false" customHeight="true" outlineLevel="0" collapsed="false">
      <c r="A10" s="11" t="s">
        <v>268</v>
      </c>
      <c r="B10" s="12" t="s">
        <v>269</v>
      </c>
      <c r="C10" s="12" t="s">
        <v>270</v>
      </c>
      <c r="D10" s="12" t="s">
        <v>271</v>
      </c>
      <c r="E10" s="12" t="s">
        <v>272</v>
      </c>
    </row>
    <row r="11" customFormat="false" ht="79.5" hidden="false" customHeight="true" outlineLevel="0" collapsed="false">
      <c r="A11" s="13" t="s">
        <v>273</v>
      </c>
      <c r="B11" s="14" t="s">
        <v>274</v>
      </c>
      <c r="C11" s="14" t="s">
        <v>275</v>
      </c>
      <c r="D11" s="14" t="s">
        <v>276</v>
      </c>
      <c r="E11" s="14" t="s">
        <v>277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10" t="s">
        <v>278</v>
      </c>
      <c r="B1" s="10"/>
      <c r="C1" s="10"/>
      <c r="D1" s="10"/>
    </row>
    <row r="2" customFormat="false" ht="15" hidden="false" customHeight="false" outlineLevel="0" collapsed="false">
      <c r="A2" s="2" t="s">
        <v>279</v>
      </c>
      <c r="B2" s="15" t="n">
        <f aca="false">COUNTA(QAs!A2:A22)</f>
        <v>21</v>
      </c>
    </row>
    <row r="3" customFormat="false" ht="15" hidden="false" customHeight="false" outlineLevel="0" collapsed="false">
      <c r="A3" s="2" t="s">
        <v>280</v>
      </c>
      <c r="B3" s="15" t="n">
        <f aca="false">COUNTIF(QAs!AF2:AF22,"COMPLETE")</f>
        <v>0</v>
      </c>
    </row>
    <row r="4" customFormat="false" ht="15" hidden="false" customHeight="false" outlineLevel="0" collapsed="false">
      <c r="A4" s="2" t="s">
        <v>281</v>
      </c>
      <c r="B4" s="15" t="n">
        <f aca="false">COUNTIF(QAs!AF2:AF22,"IN PROGRESS")</f>
        <v>0</v>
      </c>
    </row>
    <row r="5" customFormat="false" ht="15" hidden="false" customHeight="false" outlineLevel="0" collapsed="false">
      <c r="A5" s="2" t="s">
        <v>282</v>
      </c>
      <c r="B5" s="15" t="n">
        <f aca="false">COUNTIF(QAs!AF2:AF22,"NOT STARTED")</f>
        <v>21</v>
      </c>
    </row>
    <row r="6" customFormat="false" ht="15" hidden="false" customHeight="false" outlineLevel="0" collapsed="false">
      <c r="A6" s="2" t="s">
        <v>283</v>
      </c>
      <c r="B6" s="16" t="n">
        <f aca="false">IFERROR(B3/B2,0)</f>
        <v>0</v>
      </c>
    </row>
    <row r="7" customFormat="false" ht="15" hidden="false" customHeight="false" outlineLevel="0" collapsed="false">
      <c r="A7" s="2" t="s">
        <v>284</v>
      </c>
      <c r="B7" s="17" t="str">
        <f aca="false">IFERROR(AVERAGEIF(QAs!AF2:AF22,"COMPLETE",QAs!Z2:Z22),"")</f>
        <v/>
      </c>
    </row>
    <row r="8" customFormat="false" ht="15" hidden="false" customHeight="false" outlineLevel="0" collapsed="false">
      <c r="A8" s="2" t="s">
        <v>285</v>
      </c>
      <c r="B8" s="18" t="str">
        <f aca="false">IFERROR(AVERAGEIF(QAs!AF2:AF22,"COMPLETE",QAs!AE2:AE22),"")</f>
        <v/>
      </c>
    </row>
    <row r="9" customFormat="false" ht="15" hidden="false" customHeight="false" outlineLevel="0" collapsed="false">
      <c r="A9" s="2" t="s">
        <v>286</v>
      </c>
      <c r="B9" s="15" t="n">
        <f aca="false">COUNTIF(QAs!AD2:AD22,"Y")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2026-05-14T19:51:40Z</dcterms:created>
  <dc:creator>openpyxl</dc:creator>
  <dc:description/>
  <dc:language>en-US</dc:language>
  <cp:lastModifiedBy/>
  <dcterms:modified xsi:type="dcterms:W3CDTF">2026-05-14T19:51:40Z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